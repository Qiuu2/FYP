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cuhk-my.sharepoint.com/personal/1155211036_link_cuhk_edu_hk/Documents/學業/Year3 Term2/GECC4130/FYP_归类续跑_给賈贇_2026-09-02/"/>
    </mc:Choice>
  </mc:AlternateContent>
  <xr:revisionPtr revIDLastSave="94" documentId="11_7B8CCA93E79513744E3FD770FDF0F2FAB54E9A9C" xr6:coauthVersionLast="47" xr6:coauthVersionMax="47" xr10:uidLastSave="{69AA4316-0DA8-4E67-B205-F49F4E0B8238}"/>
  <bookViews>
    <workbookView xWindow="-103" yWindow="-103" windowWidth="24892" windowHeight="15634" tabRatio="500" activeTab="2" xr2:uid="{00000000-000D-0000-FFFF-FFFF00000000}"/>
  </bookViews>
  <sheets>
    <sheet name="①先读我" sheetId="1" r:id="rId1"/>
    <sheet name="②需人工确认" sheetId="2" r:id="rId2"/>
    <sheet name="③归类总表" sheetId="3" r:id="rId3"/>
    <sheet name="④名称变体" sheetId="4" r:id="rId4"/>
  </sheets>
  <definedNames>
    <definedName name="_xlnm._FilterDatabase" localSheetId="1" hidden="1">②需人工确认!$A$1:$F$68</definedName>
    <definedName name="_xlnm._FilterDatabase" localSheetId="2" hidden="1">③归类总表!$A$1:$G$2846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46" i="3" l="1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22" i="1" l="1"/>
  <c r="E22" i="1" s="1"/>
  <c r="C22" i="1"/>
  <c r="E17" i="1" l="1"/>
  <c r="E16" i="1"/>
  <c r="E15" i="1"/>
  <c r="E21" i="1"/>
  <c r="E20" i="1"/>
  <c r="E19" i="1"/>
  <c r="E18" i="1"/>
</calcChain>
</file>

<file path=xl/sharedStrings.xml><?xml version="1.0" encoding="utf-8"?>
<sst xmlns="http://schemas.openxmlformats.org/spreadsheetml/2006/main" count="15226" uniqueCount="3015">
  <si>
    <r>
      <rPr>
        <b/>
        <sz val="15"/>
        <rFont val="Noto Sans CJK SC"/>
        <family val="2"/>
      </rPr>
      <t xml:space="preserve">申请人三分归类 </t>
    </r>
    <r>
      <rPr>
        <b/>
        <sz val="15"/>
        <rFont val="Arial"/>
        <family val="2"/>
      </rPr>
      <t xml:space="preserve">· </t>
    </r>
    <r>
      <rPr>
        <b/>
        <sz val="15"/>
        <rFont val="Noto Sans CJK SC"/>
        <family val="2"/>
      </rPr>
      <t>复核工作表</t>
    </r>
  </si>
  <si>
    <r>
      <rPr>
        <sz val="10"/>
        <color rgb="FF595959"/>
        <rFont val="Arial"/>
        <family val="2"/>
      </rPr>
      <t xml:space="preserve">GECC4130 FYP · </t>
    </r>
    <r>
      <rPr>
        <sz val="10"/>
        <color rgb="FF595959"/>
        <rFont val="Noto Sans CJK SC"/>
        <family val="2"/>
      </rPr>
      <t>附录</t>
    </r>
    <r>
      <rPr>
        <sz val="10"/>
        <color rgb="FF595959"/>
        <rFont val="Arial"/>
        <family val="2"/>
      </rPr>
      <t xml:space="preserve">A </t>
    </r>
    <r>
      <rPr>
        <sz val="10"/>
        <color rgb="FF595959"/>
        <rFont val="Noto Sans CJK SC"/>
        <family val="2"/>
      </rPr>
      <t>指标</t>
    </r>
    <r>
      <rPr>
        <sz val="10"/>
        <color rgb="FF595959"/>
        <rFont val="Arial"/>
        <family val="2"/>
      </rPr>
      <t>8</t>
    </r>
    <r>
      <rPr>
        <sz val="10"/>
        <color rgb="FF595959"/>
        <rFont val="Noto Sans CJK SC"/>
        <family val="2"/>
      </rPr>
      <t>「企业专利族数」的前置工序</t>
    </r>
  </si>
  <si>
    <r>
      <rPr>
        <sz val="9"/>
        <color rgb="FF808080"/>
        <rFont val="Noto Sans CJK SC"/>
        <family val="2"/>
      </rPr>
      <t>数据源：</t>
    </r>
    <r>
      <rPr>
        <sz val="9"/>
        <color rgb="FF808080"/>
        <rFont val="Arial"/>
        <family val="2"/>
      </rPr>
      <t>raw/patents_assignees.csv</t>
    </r>
    <r>
      <rPr>
        <sz val="9"/>
        <color rgb="FF808080"/>
        <rFont val="Noto Sans CJK SC"/>
        <family val="2"/>
      </rPr>
      <t>（</t>
    </r>
    <r>
      <rPr>
        <sz val="9"/>
        <color rgb="FF808080"/>
        <rFont val="Arial"/>
        <family val="2"/>
      </rPr>
      <t xml:space="preserve">2 845 </t>
    </r>
    <r>
      <rPr>
        <sz val="9"/>
        <color rgb="FF808080"/>
        <rFont val="Noto Sans CJK SC"/>
        <family val="2"/>
      </rPr>
      <t xml:space="preserve">个申请人 </t>
    </r>
    <r>
      <rPr>
        <sz val="9"/>
        <color rgb="FF808080"/>
        <rFont val="Arial"/>
        <family val="2"/>
      </rPr>
      <t xml:space="preserve">/ 11 770 </t>
    </r>
    <r>
      <rPr>
        <sz val="9"/>
        <color rgb="FF808080"/>
        <rFont val="Noto Sans CJK SC"/>
        <family val="2"/>
      </rPr>
      <t>家族次）</t>
    </r>
    <r>
      <rPr>
        <sz val="9"/>
        <color rgb="FF808080"/>
        <rFont val="Arial"/>
        <family val="2"/>
      </rPr>
      <t xml:space="preserve">· </t>
    </r>
    <r>
      <rPr>
        <sz val="9"/>
        <color rgb="FF808080"/>
        <rFont val="Noto Sans CJK SC"/>
        <family val="2"/>
      </rPr>
      <t xml:space="preserve">生成 </t>
    </r>
    <r>
      <rPr>
        <sz val="9"/>
        <color rgb="FF808080"/>
        <rFont val="Arial"/>
        <family val="2"/>
      </rPr>
      <t>2026-08-31</t>
    </r>
  </si>
  <si>
    <t>要做什么</t>
  </si>
  <si>
    <r>
      <rPr>
        <sz val="10"/>
        <rFont val="Noto Sans CJK SC"/>
        <family val="2"/>
      </rPr>
      <t xml:space="preserve">只有一件事：给每个申请人填 </t>
    </r>
    <r>
      <rPr>
        <sz val="10"/>
        <rFont val="Arial"/>
        <family val="2"/>
      </rPr>
      <t>sector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company / university / public_rd / individual / exclude</t>
    </r>
    <r>
      <rPr>
        <sz val="10"/>
        <rFont val="Noto Sans CJK SC"/>
        <family val="2"/>
      </rPr>
      <t>）。</t>
    </r>
  </si>
  <si>
    <r>
      <rPr>
        <sz val="10"/>
        <rFont val="Noto Sans CJK SC"/>
        <family val="2"/>
      </rPr>
      <t xml:space="preserve">填完后跑 </t>
    </r>
    <r>
      <rPr>
        <sz val="10"/>
        <rFont val="Arial"/>
        <family val="2"/>
      </rPr>
      <t>scripts/sector_export.py</t>
    </r>
    <r>
      <rPr>
        <sz val="10"/>
        <rFont val="Noto Sans CJK SC"/>
        <family val="2"/>
      </rPr>
      <t xml:space="preserve">，它把本表导成 </t>
    </r>
    <r>
      <rPr>
        <sz val="10"/>
        <rFont val="Arial"/>
        <family val="2"/>
      </rPr>
      <t>config/patents_assignee_sector.csv</t>
    </r>
    <r>
      <rPr>
        <sz val="10"/>
        <rFont val="Noto Sans CJK SC"/>
        <family val="2"/>
      </rPr>
      <t>，</t>
    </r>
  </si>
  <si>
    <r>
      <rPr>
        <sz val="10"/>
        <rFont val="Noto Sans CJK SC"/>
        <family val="2"/>
      </rPr>
      <t xml:space="preserve">再跑 </t>
    </r>
    <r>
      <rPr>
        <sz val="10"/>
        <rFont val="Arial"/>
        <family val="2"/>
      </rPr>
      <t>patents_build.py --sector company</t>
    </r>
    <r>
      <rPr>
        <sz val="10"/>
        <rFont val="Noto Sans CJK SC"/>
        <family val="2"/>
      </rPr>
      <t xml:space="preserve">，才是指标 </t>
    </r>
    <r>
      <rPr>
        <sz val="10"/>
        <rFont val="Arial"/>
        <family val="2"/>
      </rPr>
      <t xml:space="preserve">8 </t>
    </r>
    <r>
      <rPr>
        <sz val="10"/>
        <rFont val="Noto Sans CJK SC"/>
        <family val="2"/>
      </rPr>
      <t>的正式口径。</t>
    </r>
  </si>
  <si>
    <r>
      <rPr>
        <b/>
        <sz val="10"/>
        <rFont val="Noto Sans CJK SC"/>
        <family val="2"/>
      </rPr>
      <t xml:space="preserve">好消息：规则已经把 </t>
    </r>
    <r>
      <rPr>
        <b/>
        <sz val="10"/>
        <rFont val="Arial"/>
        <family val="2"/>
      </rPr>
      <t xml:space="preserve">91% </t>
    </r>
    <r>
      <rPr>
        <b/>
        <sz val="10"/>
        <rFont val="Noto Sans CJK SC"/>
        <family val="2"/>
      </rPr>
      <t>填好了</t>
    </r>
  </si>
  <si>
    <r>
      <rPr>
        <sz val="10"/>
        <rFont val="Noto Sans CJK SC"/>
        <family val="2"/>
      </rPr>
      <t>关键词规则（</t>
    </r>
    <r>
      <rPr>
        <sz val="10"/>
        <rFont val="Arial"/>
        <family val="2"/>
      </rPr>
      <t xml:space="preserve">UNIV / INST / HOSPITAL / PTE LTD </t>
    </r>
    <r>
      <rPr>
        <sz val="10"/>
        <rFont val="Noto Sans CJK SC"/>
        <family val="2"/>
      </rPr>
      <t>等）已预填，</t>
    </r>
    <r>
      <rPr>
        <sz val="10"/>
        <rFont val="Arial"/>
        <family val="2"/>
      </rPr>
      <t xml:space="preserve">confidence=high </t>
    </r>
    <r>
      <rPr>
        <sz val="10"/>
        <rFont val="Noto Sans CJK SC"/>
        <family val="2"/>
      </rPr>
      <t>的不用看。</t>
    </r>
  </si>
  <si>
    <t>预填结果</t>
  </si>
  <si>
    <t>申请人数</t>
  </si>
  <si>
    <t>家族次</t>
  </si>
  <si>
    <t>占家族次</t>
  </si>
  <si>
    <r>
      <rPr>
        <sz val="10"/>
        <rFont val="Arial"/>
        <family val="2"/>
      </rPr>
      <t>company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high</t>
    </r>
    <r>
      <rPr>
        <sz val="10"/>
        <rFont val="Noto Sans CJK SC"/>
        <family val="2"/>
      </rPr>
      <t>）</t>
    </r>
  </si>
  <si>
    <r>
      <rPr>
        <sz val="10"/>
        <rFont val="Arial"/>
        <family val="2"/>
      </rPr>
      <t>university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high</t>
    </r>
    <r>
      <rPr>
        <sz val="10"/>
        <rFont val="Noto Sans CJK SC"/>
        <family val="2"/>
      </rPr>
      <t>）</t>
    </r>
  </si>
  <si>
    <r>
      <rPr>
        <sz val="10"/>
        <rFont val="Arial"/>
        <family val="2"/>
      </rPr>
      <t>public_rd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high</t>
    </r>
    <r>
      <rPr>
        <sz val="10"/>
        <rFont val="Noto Sans CJK SC"/>
        <family val="2"/>
      </rPr>
      <t>）</t>
    </r>
  </si>
  <si>
    <r>
      <rPr>
        <sz val="10"/>
        <rFont val="Arial"/>
        <family val="2"/>
      </rPr>
      <t>individual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med</t>
    </r>
    <r>
      <rPr>
        <sz val="10"/>
        <rFont val="Noto Sans CJK SC"/>
        <family val="2"/>
      </rPr>
      <t>）</t>
    </r>
  </si>
  <si>
    <r>
      <rPr>
        <sz val="10"/>
        <rFont val="Arial"/>
        <family val="2"/>
      </rPr>
      <t>public_rd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med</t>
    </r>
    <r>
      <rPr>
        <sz val="10"/>
        <rFont val="Noto Sans CJK SC"/>
        <family val="2"/>
      </rPr>
      <t>）</t>
    </r>
  </si>
  <si>
    <r>
      <rPr>
        <sz val="10"/>
        <rFont val="Arial"/>
        <family val="2"/>
      </rPr>
      <t>company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med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</si>
  <si>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未分类（</t>
    </r>
    <r>
      <rPr>
        <sz val="10"/>
        <rFont val="Arial"/>
        <family val="2"/>
      </rPr>
      <t>low</t>
    </r>
    <r>
      <rPr>
        <sz val="10"/>
        <rFont val="Noto Sans CJK SC"/>
        <family val="2"/>
      </rPr>
      <t>）</t>
    </r>
  </si>
  <si>
    <t>合计</t>
  </si>
  <si>
    <t>两个要拍板的口径问题</t>
  </si>
  <si>
    <r>
      <rPr>
        <b/>
        <sz val="10"/>
        <color rgb="FFC00000"/>
        <rFont val="Noto Sans CJK SC"/>
        <family val="2"/>
      </rPr>
      <t xml:space="preserve">决策 </t>
    </r>
    <r>
      <rPr>
        <b/>
        <sz val="10"/>
        <color rgb="FFC00000"/>
        <rFont val="Arial"/>
        <family val="2"/>
      </rPr>
      <t>1</t>
    </r>
  </si>
  <si>
    <r>
      <rPr>
        <sz val="10"/>
        <rFont val="Arial"/>
        <family val="2"/>
      </rPr>
      <t xml:space="preserve">687 </t>
    </r>
    <r>
      <rPr>
        <sz val="10"/>
        <rFont val="Noto Sans CJK SC"/>
        <family val="2"/>
      </rPr>
      <t>个「</t>
    </r>
    <r>
      <rPr>
        <sz val="10"/>
        <rFont val="Arial"/>
        <family val="2"/>
      </rPr>
      <t>individual</t>
    </r>
    <r>
      <rPr>
        <sz val="10"/>
        <rFont val="Noto Sans CJK SC"/>
        <family val="2"/>
      </rPr>
      <t>」怎么算？</t>
    </r>
  </si>
  <si>
    <r>
      <rPr>
        <sz val="10"/>
        <rFont val="Noto Sans CJK SC"/>
        <family val="2"/>
      </rPr>
      <t>发明人自持专利，</t>
    </r>
    <r>
      <rPr>
        <sz val="10"/>
        <rFont val="Arial"/>
        <family val="2"/>
      </rPr>
      <t xml:space="preserve">921 </t>
    </r>
    <r>
      <rPr>
        <sz val="10"/>
        <rFont val="Noto Sans CJK SC"/>
        <family val="2"/>
      </rPr>
      <t xml:space="preserve">家族次占 </t>
    </r>
    <r>
      <rPr>
        <sz val="10"/>
        <rFont val="Arial"/>
        <family val="2"/>
      </rPr>
      <t>7.8%</t>
    </r>
    <r>
      <rPr>
        <sz val="10"/>
        <rFont val="Noto Sans CJK SC"/>
        <family val="2"/>
      </rPr>
      <t xml:space="preserve">。指标 </t>
    </r>
    <r>
      <rPr>
        <sz val="10"/>
        <rFont val="Arial"/>
        <family val="2"/>
      </rPr>
      <t xml:space="preserve">8 </t>
    </r>
    <r>
      <rPr>
        <sz val="10"/>
        <rFont val="Noto Sans CJK SC"/>
        <family val="2"/>
      </rPr>
      <t>叫「企业专利族数」——自然人自持</t>
    </r>
  </si>
  <si>
    <r>
      <rPr>
        <sz val="10"/>
        <rFont val="Noto Sans CJK SC"/>
        <family val="2"/>
      </rPr>
      <t xml:space="preserve">通常不算企业。建议整批 </t>
    </r>
    <r>
      <rPr>
        <sz val="10"/>
        <rFont val="Arial"/>
        <family val="2"/>
      </rPr>
      <t>exclude</t>
    </r>
    <r>
      <rPr>
        <sz val="10"/>
        <rFont val="Noto Sans CJK SC"/>
        <family val="2"/>
      </rPr>
      <t>，但这是一次性决定，不用逐行看。</t>
    </r>
  </si>
  <si>
    <r>
      <rPr>
        <b/>
        <sz val="10"/>
        <color rgb="FFC00000"/>
        <rFont val="Noto Sans CJK SC"/>
        <family val="2"/>
      </rPr>
      <t xml:space="preserve">决策 </t>
    </r>
    <r>
      <rPr>
        <b/>
        <sz val="10"/>
        <color rgb="FFC00000"/>
        <rFont val="Arial"/>
        <family val="2"/>
      </rPr>
      <t>2</t>
    </r>
  </si>
  <si>
    <r>
      <rPr>
        <sz val="10"/>
        <rFont val="Noto Sans CJK SC"/>
        <family val="2"/>
      </rPr>
      <t xml:space="preserve">表②里有一批 </t>
    </r>
    <r>
      <rPr>
        <sz val="10"/>
        <rFont val="Arial"/>
        <family val="2"/>
      </rPr>
      <t>CENTRE FOR xxx LTD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 xml:space="preserve">NOVOSTICS / CVVT / CIMDA / COCHE / </t>
    </r>
    <r>
      <rPr>
        <sz val="10"/>
        <rFont val="Noto Sans CJK SC"/>
        <family val="2"/>
      </rPr>
      <t>眼视觉…），</t>
    </r>
  </si>
  <si>
    <r>
      <rPr>
        <sz val="10"/>
        <rFont val="Noto Sans CJK SC"/>
        <family val="2"/>
      </rPr>
      <t xml:space="preserve">都是 </t>
    </r>
    <r>
      <rPr>
        <sz val="10"/>
        <rFont val="Arial"/>
        <family val="2"/>
      </rPr>
      <t xml:space="preserve">InnoHK </t>
    </r>
    <r>
      <rPr>
        <sz val="10"/>
        <rFont val="Noto Sans CJK SC"/>
        <family val="2"/>
      </rPr>
      <t>中心：法律上是公司，实际是政府资助、挂靠大学的研发中心。</t>
    </r>
  </si>
  <si>
    <r>
      <rPr>
        <i/>
        <sz val="10"/>
        <color rgb="FF595959"/>
        <rFont val="Noto Sans CJK SC"/>
        <family val="2"/>
      </rPr>
      <t>顺带：这批名单正好能回答挂了很久的「</t>
    </r>
    <r>
      <rPr>
        <i/>
        <sz val="10"/>
        <color rgb="FF595959"/>
        <rFont val="Arial"/>
        <family val="2"/>
      </rPr>
      <t xml:space="preserve">InnoHK 25 </t>
    </r>
    <r>
      <rPr>
        <i/>
        <sz val="10"/>
        <color rgb="FF595959"/>
        <rFont val="Noto Sans CJK SC"/>
        <family val="2"/>
      </rPr>
      <t xml:space="preserve">还是 </t>
    </r>
    <r>
      <rPr>
        <i/>
        <sz val="10"/>
        <color rgb="FF595959"/>
        <rFont val="Arial"/>
        <family val="2"/>
      </rPr>
      <t>30</t>
    </r>
    <r>
      <rPr>
        <i/>
        <sz val="10"/>
        <color rgb="FF595959"/>
        <rFont val="Noto Sans CJK SC"/>
        <family val="2"/>
      </rPr>
      <t>」那个差额问题。</t>
    </r>
  </si>
  <si>
    <r>
      <rPr>
        <b/>
        <sz val="10"/>
        <rFont val="Noto Sans CJK SC"/>
        <family val="2"/>
      </rPr>
      <t xml:space="preserve">逐行要看的只有 </t>
    </r>
    <r>
      <rPr>
        <b/>
        <sz val="10"/>
        <rFont val="Arial"/>
        <family val="2"/>
      </rPr>
      <t xml:space="preserve">67 </t>
    </r>
    <r>
      <rPr>
        <b/>
        <sz val="10"/>
        <rFont val="Noto Sans CJK SC"/>
        <family val="2"/>
      </rPr>
      <t>行</t>
    </r>
  </si>
  <si>
    <r>
      <rPr>
        <sz val="10"/>
        <rFont val="Noto Sans CJK SC"/>
        <family val="2"/>
      </rPr>
      <t xml:space="preserve">全在表②「②需人工确认」，占家族次 </t>
    </r>
    <r>
      <rPr>
        <sz val="10"/>
        <rFont val="Arial"/>
        <family val="2"/>
      </rPr>
      <t>0.9%</t>
    </r>
    <r>
      <rPr>
        <sz val="10"/>
        <rFont val="Noto Sans CJK SC"/>
        <family val="2"/>
      </rPr>
      <t>。黄底格子＝请填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请确认。</t>
    </r>
  </si>
  <si>
    <r>
      <rPr>
        <sz val="10"/>
        <rFont val="Noto Sans CJK SC"/>
        <family val="2"/>
      </rPr>
      <t xml:space="preserve">表③是全量 </t>
    </r>
    <r>
      <rPr>
        <sz val="10"/>
        <rFont val="Arial"/>
        <family val="2"/>
      </rPr>
      <t xml:space="preserve">2 845 </t>
    </r>
    <r>
      <rPr>
        <sz val="10"/>
        <rFont val="Noto Sans CJK SC"/>
        <family val="2"/>
      </rPr>
      <t>行（含已填好的），表④是名称变体，供参考。</t>
    </r>
  </si>
  <si>
    <t>顺手记一笔：源数据本身有脏名</t>
  </si>
  <si>
    <r>
      <rPr>
        <sz val="9"/>
        <color rgb="FF595959"/>
        <rFont val="Arial"/>
        <family val="2"/>
      </rPr>
      <t xml:space="preserve">ASTRI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2"/>
      </rPr>
      <t xml:space="preserve">assignee_harmonized </t>
    </r>
    <r>
      <rPr>
        <sz val="9"/>
        <color rgb="FF595959"/>
        <rFont val="Noto Sans CJK SC"/>
        <family val="2"/>
      </rPr>
      <t xml:space="preserve">里有 </t>
    </r>
    <r>
      <rPr>
        <sz val="9"/>
        <color rgb="FF595959"/>
        <rFont val="Arial"/>
        <family val="2"/>
      </rPr>
      <t xml:space="preserve">7 </t>
    </r>
    <r>
      <rPr>
        <sz val="9"/>
        <color rgb="FF595959"/>
        <rFont val="Noto Sans CJK SC"/>
        <family val="2"/>
      </rPr>
      <t>种拼法，含 “</t>
    </r>
    <r>
      <rPr>
        <sz val="9"/>
        <color rgb="FF595959"/>
        <rFont val="Arial"/>
        <family val="2"/>
      </rPr>
      <t xml:space="preserve">APPLIES SCIENCE”“TECHNOLOY” </t>
    </r>
    <r>
      <rPr>
        <sz val="9"/>
        <color rgb="FF595959"/>
        <rFont val="Noto Sans CJK SC"/>
        <family val="2"/>
      </rPr>
      <t>这类错字；</t>
    </r>
  </si>
  <si>
    <r>
      <rPr>
        <sz val="9"/>
        <color rgb="FF595959"/>
        <rFont val="Arial"/>
        <family val="2"/>
      </rPr>
      <t xml:space="preserve">“City Iniversity of Hong Kong”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2"/>
      </rPr>
      <t xml:space="preserve">University </t>
    </r>
    <r>
      <rPr>
        <sz val="9"/>
        <color rgb="FF595959"/>
        <rFont val="Noto Sans CJK SC"/>
        <family val="2"/>
      </rPr>
      <t>的错字；</t>
    </r>
  </si>
  <si>
    <r>
      <rPr>
        <sz val="9"/>
        <color rgb="FF595959"/>
        <rFont val="Arial"/>
        <family val="2"/>
      </rPr>
      <t xml:space="preserve">“METHOD FOR DIAGNOSIS AND PROGNOSIS OF CHRONIC HEART FAILURE…” </t>
    </r>
    <r>
      <rPr>
        <sz val="9"/>
        <color rgb="FF595959"/>
        <rFont val="Noto Sans CJK SC"/>
        <family val="2"/>
      </rPr>
      <t>是把专利标题写进了申请人字段。</t>
    </r>
  </si>
  <si>
    <r>
      <rPr>
        <sz val="9"/>
        <color rgb="FF595959"/>
        <rFont val="Noto Sans CJK SC"/>
        <family val="2"/>
      </rPr>
      <t>结论：</t>
    </r>
    <r>
      <rPr>
        <sz val="9"/>
        <color rgb="FF595959"/>
        <rFont val="Arial"/>
        <family val="2"/>
      </rPr>
      <t xml:space="preserve">BigQuery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2"/>
      </rPr>
      <t xml:space="preserve">assignee_harmonized </t>
    </r>
    <r>
      <rPr>
        <sz val="9"/>
        <color rgb="FF595959"/>
        <rFont val="Noto Sans CJK SC"/>
        <family val="2"/>
      </rPr>
      <t xml:space="preserve">并没有真正 </t>
    </r>
    <r>
      <rPr>
        <sz val="9"/>
        <color rgb="FF595959"/>
        <rFont val="Arial"/>
        <family val="2"/>
      </rPr>
      <t>harmonized</t>
    </r>
    <r>
      <rPr>
        <sz val="9"/>
        <color rgb="FF595959"/>
        <rFont val="Noto Sans CJK SC"/>
        <family val="2"/>
      </rPr>
      <t>，报「</t>
    </r>
    <r>
      <rPr>
        <sz val="9"/>
        <color rgb="FF595959"/>
        <rFont val="Arial"/>
        <family val="2"/>
      </rPr>
      <t xml:space="preserve">top </t>
    </r>
    <r>
      <rPr>
        <sz val="9"/>
        <color rgb="FF595959"/>
        <rFont val="Noto Sans CJK SC"/>
        <family val="2"/>
      </rPr>
      <t>申请人」时要先合并变体（见表④）。</t>
    </r>
  </si>
  <si>
    <r>
      <rPr>
        <b/>
        <sz val="10"/>
        <color rgb="FFFFFFFF"/>
        <rFont val="Noto Sans CJK SC"/>
        <family val="2"/>
      </rPr>
      <t xml:space="preserve">申请人 </t>
    </r>
    <r>
      <rPr>
        <b/>
        <sz val="10"/>
        <color rgb="FFFFFFFF"/>
        <rFont val="Arial"/>
        <family val="2"/>
      </rPr>
      <t>assignee</t>
    </r>
  </si>
  <si>
    <r>
      <rPr>
        <b/>
        <sz val="10"/>
        <color rgb="FFFFFFFF"/>
        <rFont val="Arial"/>
        <family val="2"/>
      </rPr>
      <t>sector</t>
    </r>
    <r>
      <rPr>
        <b/>
        <sz val="10"/>
        <color rgb="FFFFFFFF"/>
        <rFont val="Noto Sans CJK SC"/>
        <family val="2"/>
      </rPr>
      <t>（请确认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填写）</t>
    </r>
  </si>
  <si>
    <t>规则给的置信度</t>
  </si>
  <si>
    <t>城市</t>
  </si>
  <si>
    <r>
      <rPr>
        <b/>
        <sz val="10"/>
        <color rgb="FFFFFFFF"/>
        <rFont val="Noto Sans CJK SC"/>
        <family val="2"/>
      </rPr>
      <t xml:space="preserve">规则依据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备注</t>
    </r>
  </si>
  <si>
    <t>HONG KONG CENTRE FOR CEREBRO CARDIOVASCULAR HEALTH ENGINEERING LTD</t>
  </si>
  <si>
    <t>public_rd</t>
  </si>
  <si>
    <t>med</t>
  </si>
  <si>
    <t>hk</t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</si>
  <si>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2"/>
      </rPr>
      <t xml:space="preserve">INST/AGENCY/HOSPITAL/COUNCIL/CENTRE FOR </t>
    </r>
    <r>
      <rPr>
        <sz val="9"/>
        <color rgb="FF595959"/>
        <rFont val="Noto Sans CJK SC"/>
        <family val="2"/>
      </rPr>
      <t>等公营词（同时带企业后缀，请确认）</t>
    </r>
  </si>
  <si>
    <t>CENTRE FOR INTELLIGENT MULTIDIMENSIONAL DATA ANALYSIS LTD</t>
  </si>
  <si>
    <t>CENTRE FOR VIROLOGY VACCINOLOGY AND THERAPEUTICS LTD</t>
  </si>
  <si>
    <t>HONG KONG RES INST TEXTILES &amp; APPAREL LTD</t>
  </si>
  <si>
    <t>CENTRE FOR EYE AND VISION RES LIMITED</t>
  </si>
  <si>
    <t>AON SINGAPORE CENTRE FOR INNOVATION STRATEGY AND MAN PTE LTD</t>
  </si>
  <si>
    <t>sg</t>
  </si>
  <si>
    <t>HONG KONG R&amp;D CENTRE FOR LOGISTICS AND SUPPLY CHAIN MANAGEMENT ENABLING TECH LIMITED</t>
  </si>
  <si>
    <t>DSO NAT LAB</t>
  </si>
  <si>
    <t>company</t>
  </si>
  <si>
    <r>
      <rPr>
        <sz val="9"/>
        <color rgb="FF595959"/>
        <rFont val="Noto Sans CJK SC"/>
        <family val="2"/>
      </rPr>
      <t>无法定后缀，但含机构性词汇（</t>
    </r>
    <r>
      <rPr>
        <sz val="9"/>
        <color rgb="FF595959"/>
        <rFont val="Arial"/>
        <family val="2"/>
      </rPr>
      <t xml:space="preserve">TECH/LABS/ASIA/IP </t>
    </r>
    <r>
      <rPr>
        <sz val="9"/>
        <color rgb="FF595959"/>
        <rFont val="Noto Sans CJK SC"/>
        <family val="2"/>
      </rPr>
      <t>等）</t>
    </r>
  </si>
  <si>
    <t>CENTRE FOR IMMUNOLOGY &amp; INFECTION LTD</t>
  </si>
  <si>
    <t>CENTRE FOR TRANSLATIONAL STEM CELL BIOLOGY LTD</t>
  </si>
  <si>
    <t>EC COUNCIL INTERNATIONAL LTD</t>
  </si>
  <si>
    <t>HONG KONG CENTER FOR NEURODEGENERATIVE DISEASES LTD</t>
  </si>
  <si>
    <t>Entropica Labs</t>
  </si>
  <si>
    <t>NANYANG TECH UNVERSITY</t>
  </si>
  <si>
    <t>SINGAPORE MIT ALLIANCE FOR RESEARCH &amp; TECH CENTRE</t>
  </si>
  <si>
    <t>TEMASEK LIFE SCIENCES LABORATORY</t>
  </si>
  <si>
    <t>ACCRO BIOSCIENCE HK</t>
  </si>
  <si>
    <t>APPLIED SCIENCE &amp; TECH RES</t>
  </si>
  <si>
    <t>CENTER FOR NEUROMUSCULOSKELETAL RESTORATIVE MEDICINE LTD</t>
  </si>
  <si>
    <t>CENTRE FOR GARMENT PRODUCTION LTD</t>
  </si>
  <si>
    <t>CENTRE FOR ONCOLOGY AND IMMUNOLOGY LTD</t>
  </si>
  <si>
    <t>CENTRE FOR VIROLOGY VACCINOLOGY AND THERAPEUTICS LIMITED</t>
  </si>
  <si>
    <t>City Iniversity of Hong Kong</t>
  </si>
  <si>
    <t>low</t>
  </si>
  <si>
    <t>⚠️ 规则判不了，需人工</t>
  </si>
  <si>
    <t>HENDERSON REAL ESTATE AGENCY LTD</t>
  </si>
  <si>
    <t>HK APPLIED SCIENCE &amp; TECH RES</t>
  </si>
  <si>
    <t>HONG CENTRE FOR CEREBRO CARDIOVASCULAR HEALTH ENGINEERING LTD</t>
  </si>
  <si>
    <t>HONG KONG APPLIED SCIENCE AND TECH RES</t>
  </si>
  <si>
    <t>HONG KONG APPLIED SCIENCE AND TECH RES INST CO LTD</t>
  </si>
  <si>
    <t>HONG KONG APPLIED SCIENCE AND TECH RESEARCH</t>
  </si>
  <si>
    <t>HONG KONG APPLIED SCIENCE AND TECH RESEARCH INSTITUTE COMPANY</t>
  </si>
  <si>
    <t>HONG KONG APPLIED SCIENCE AND TECHNOLOY RES INSTITUTE COMPANY LIMITED</t>
  </si>
  <si>
    <t>HONG KONG APPLIES SCIENCE AND TECH RESEARCH INSTITUTE COMPANY LIMITED</t>
  </si>
  <si>
    <t>HONG KONG CENTRE FOR LOGISTICS ROBOTICS LTD</t>
  </si>
  <si>
    <t>HONG KONG R&amp;D CENTRE FOR LOGISTICS AND SUPPLY CHAIN MANAGEMENT ENABLING TECH LIMITED HONG</t>
  </si>
  <si>
    <t>INT BIOTECH INSTITUTE INC</t>
  </si>
  <si>
    <t>IP YING HOI ROBERT</t>
  </si>
  <si>
    <t>LEUNG KI HIN CONSTANCE MISS</t>
  </si>
  <si>
    <t>NOBELBIOTIX RES INSTITUTE LIMITED</t>
  </si>
  <si>
    <t>WONG YEUNG WAI JUN SABRINA</t>
  </si>
  <si>
    <t>CAMBRIDGE CENTRE FOR ADVANCED RES AND EDUCATION IN SINGAPORE LTD</t>
  </si>
  <si>
    <t>CNRS@CREATE</t>
  </si>
  <si>
    <t>EDZHENSI FO SAJENS TEKNOLODZHI END RESERCH</t>
  </si>
  <si>
    <t>EPIONE RES AND DEVELOPMENT INSTITUTE LTD</t>
  </si>
  <si>
    <t>FULLERTON HEALTHCARE GROUP PTE LTD</t>
  </si>
  <si>
    <t>GreenArc Capital</t>
  </si>
  <si>
    <t>HOUSING &amp; DEV BOARD</t>
  </si>
  <si>
    <t>KO SHWE VENTURES</t>
  </si>
  <si>
    <t>METHOD FOR DIAGNOSIS AND PROGNOSIS OF CHRONIC HEART FAILURE</t>
  </si>
  <si>
    <t>NAT HEALTHCARE GROUP</t>
  </si>
  <si>
    <t>NG EDDIE YIN KWEE DR</t>
  </si>
  <si>
    <t>ONLINE MERCHANT DISTRIB AND DELIVERY OMDDY</t>
  </si>
  <si>
    <t>ONLINE MERCHANT DISTRIB AND DELIVERY “OMDDY”</t>
  </si>
  <si>
    <t>PATIT PABAN GOSWAMI RAJAT GOSWAMI</t>
  </si>
  <si>
    <t>PROCTER &amp; GAMBLE</t>
  </si>
  <si>
    <t>PT APLIKASI KARYA ANAK BANGSA</t>
  </si>
  <si>
    <t>PT GOTO GOJEK TOKOPEDIA TBK</t>
  </si>
  <si>
    <t>SEVENTH SENSE ARTIFICIAL INTELLIGENCE PRIVATE LIMTED</t>
  </si>
  <si>
    <t>SGPTH Life Science AB</t>
  </si>
  <si>
    <t>ST ELECTRONICS TRAINING &amp; SIMULATION SYSTEMS</t>
  </si>
  <si>
    <t>ST MICROELECTRONICS ASIA</t>
  </si>
  <si>
    <t>STANDARD CHARTERED BANK</t>
  </si>
  <si>
    <t>STR8BAT SPORTS TECH SOLUTIONS OTE</t>
  </si>
  <si>
    <t>SUNIA</t>
  </si>
  <si>
    <t>TAN TOCK SENG HOSPITAL PTE LTD TTSH</t>
  </si>
  <si>
    <t>TEOH TZE KEN JONATHAN JULIAN</t>
  </si>
  <si>
    <t>VASCUROS MEDICAL</t>
  </si>
  <si>
    <t>VOSSELER HANS-GÜNTER</t>
  </si>
  <si>
    <t>sector</t>
  </si>
  <si>
    <t>confidence</t>
  </si>
  <si>
    <t>累计占比</t>
  </si>
  <si>
    <t>规则依据</t>
  </si>
  <si>
    <t>ALIBABA GROUP SERVICES LTD</t>
  </si>
  <si>
    <t>high</t>
  </si>
  <si>
    <r>
      <rPr>
        <sz val="9"/>
        <color rgb="FF595959"/>
        <rFont val="Noto Sans CJK SC"/>
        <family val="2"/>
      </rPr>
      <t xml:space="preserve">含企业法定后缀 </t>
    </r>
    <r>
      <rPr>
        <sz val="9"/>
        <color rgb="FF595959"/>
        <rFont val="Arial"/>
        <family val="2"/>
      </rPr>
      <t>LTD/PTE/INC/CORP</t>
    </r>
  </si>
  <si>
    <t>AGENCY SCIENCE TECH &amp; RES</t>
  </si>
  <si>
    <r>
      <rPr>
        <sz val="9"/>
        <color rgb="FF595959"/>
        <rFont val="Noto Sans CJK SC"/>
        <family val="2"/>
      </rPr>
      <t xml:space="preserve">已知实体：新加坡 </t>
    </r>
    <r>
      <rPr>
        <sz val="9"/>
        <color rgb="FF595959"/>
        <rFont val="Arial"/>
        <family val="2"/>
      </rPr>
      <t>A*STAR</t>
    </r>
  </si>
  <si>
    <t>NAT UNIV SINGAPORE</t>
  </si>
  <si>
    <t>university</t>
  </si>
  <si>
    <r>
      <rPr>
        <sz val="9"/>
        <color rgb="FF595959"/>
        <rFont val="Noto Sans CJK SC"/>
        <family val="2"/>
      </rPr>
      <t xml:space="preserve">名称含 </t>
    </r>
    <r>
      <rPr>
        <sz val="9"/>
        <color rgb="FF595959"/>
        <rFont val="Arial"/>
        <family val="2"/>
      </rPr>
      <t>UNIV/POLYTECHNIC/COLLEGE</t>
    </r>
  </si>
  <si>
    <t>LENOVO SINGAPORE PTE LTD</t>
  </si>
  <si>
    <t>UNIV NANYANG TECH</t>
  </si>
  <si>
    <t>SMITH &amp; NEPHEW ASIA PACIFIC PTE LTD</t>
  </si>
  <si>
    <t>UNIV CITY HONG KONG</t>
  </si>
  <si>
    <t>SENSETIME INT PTE LTD</t>
  </si>
  <si>
    <t>SINGAPORE HEALTH SERV PTE LTD</t>
  </si>
  <si>
    <r>
      <rPr>
        <sz val="9"/>
        <color rgb="FF595959"/>
        <rFont val="Noto Sans CJK SC"/>
        <family val="2"/>
      </rPr>
      <t>已知实体：</t>
    </r>
    <r>
      <rPr>
        <sz val="9"/>
        <color rgb="FF595959"/>
        <rFont val="Arial"/>
        <family val="2"/>
      </rPr>
      <t xml:space="preserve">SingHealth </t>
    </r>
    <r>
      <rPr>
        <sz val="9"/>
        <color rgb="FF595959"/>
        <rFont val="Noto Sans CJK SC"/>
        <family val="2"/>
      </rPr>
      <t>公立医疗集团</t>
    </r>
  </si>
  <si>
    <t>MASTERCARD ASIA PACIFIC PTE LTD</t>
  </si>
  <si>
    <t>LEMON INC</t>
  </si>
  <si>
    <t>LEICA INSTR SINGAPORE PTE LTD</t>
  </si>
  <si>
    <t>SIVANTOS PTE LTD</t>
  </si>
  <si>
    <t>BIGO TECH PTE LTD</t>
  </si>
  <si>
    <t>UNIV HONG KONG CHINESE</t>
  </si>
  <si>
    <t>ALIPAY LABS SINGAPORE PTE LTD</t>
  </si>
  <si>
    <t>MARVELL ASIA PTE LTD</t>
  </si>
  <si>
    <t>GRABTAXI HOLDINGS PTE LTD</t>
  </si>
  <si>
    <t>UNIV SINGAPORE</t>
  </si>
  <si>
    <t>ANX IP HOLDING PTE LTD</t>
  </si>
  <si>
    <t>NAT UNIV HOSPITAL SINGAPORE PTE LTD</t>
  </si>
  <si>
    <r>
      <rPr>
        <sz val="9"/>
        <color rgb="FF595959"/>
        <rFont val="Noto Sans CJK SC"/>
        <family val="2"/>
      </rPr>
      <t>已知实体：</t>
    </r>
    <r>
      <rPr>
        <sz val="9"/>
        <color rgb="FF595959"/>
        <rFont val="Arial"/>
        <family val="2"/>
      </rPr>
      <t xml:space="preserve">NUH </t>
    </r>
    <r>
      <rPr>
        <sz val="9"/>
        <color rgb="FF595959"/>
        <rFont val="Noto Sans CJK SC"/>
        <family val="2"/>
      </rPr>
      <t>公立医院</t>
    </r>
  </si>
  <si>
    <t>ResMed Asia Pte Ltd</t>
  </si>
  <si>
    <t>UNIV HONG KONG</t>
  </si>
  <si>
    <t>HONG KONG APPLIED SCIENCE &amp; TECH RESEARCH INST CO LTD</t>
  </si>
  <si>
    <r>
      <rPr>
        <sz val="9"/>
        <color rgb="FF595959"/>
        <rFont val="Noto Sans CJK SC"/>
        <family val="2"/>
      </rPr>
      <t xml:space="preserve">已知实体：香港 </t>
    </r>
    <r>
      <rPr>
        <sz val="9"/>
        <color rgb="FF595959"/>
        <rFont val="Arial"/>
        <family val="2"/>
      </rPr>
      <t>ASTRI</t>
    </r>
  </si>
  <si>
    <t>INSILICO MEDICINE IP LTD</t>
  </si>
  <si>
    <t>CONTEMPORARY AMPEREX TECHNOLOGY HONG KONG LTD</t>
  </si>
  <si>
    <t>WAVE LIFE SCIENCES LTD</t>
  </si>
  <si>
    <t>UNIV HONG KONG BAPTIST UNIV</t>
  </si>
  <si>
    <t>SMITH &amp; NEPHEW PTE LTD</t>
  </si>
  <si>
    <t>HYTTO PTE LTD</t>
  </si>
  <si>
    <t>UNIV SINGAPORE TECHNOLOGY &amp; DESIGN</t>
  </si>
  <si>
    <t>STRAND ROSS</t>
  </si>
  <si>
    <t>individual</t>
  </si>
  <si>
    <t>纯人名形态，疑似发明人自持</t>
  </si>
  <si>
    <t>ROTAM AGROCHEM INT CO LTD</t>
  </si>
  <si>
    <t>ASLAN PHARMACEUTICALS PTE LTD</t>
  </si>
  <si>
    <t>VERSITECH LTD</t>
  </si>
  <si>
    <r>
      <rPr>
        <sz val="9"/>
        <color rgb="FF595959"/>
        <rFont val="Noto Sans CJK SC"/>
        <family val="2"/>
      </rPr>
      <t xml:space="preserve">已知实体：港大技转公司 </t>
    </r>
    <r>
      <rPr>
        <sz val="9"/>
        <color rgb="FF595959"/>
        <rFont val="Arial"/>
        <family val="2"/>
      </rPr>
      <t>Versitech</t>
    </r>
  </si>
  <si>
    <t>ASCENTAGE PHARMA GROUP CORP LTD</t>
  </si>
  <si>
    <t>ILLUMINA SINGAPORE PTE LTD</t>
  </si>
  <si>
    <t>HILL ROM SERVICES PTE LTD</t>
  </si>
  <si>
    <t>UNIV HONG KONG POLYTECHNIC</t>
  </si>
  <si>
    <t>DELTA ELECTRONICS INTL SINGAPORE PTE LTD</t>
  </si>
  <si>
    <t>HCP HEALTHCARE ASIA PTE LTD</t>
  </si>
  <si>
    <t>AVAGO TECH INT SALES PTE LID</t>
  </si>
  <si>
    <t>CLOUD NETWORK TECH SINGAPORE PTE LTD</t>
  </si>
  <si>
    <t>LENOVO ENTPR SOLUTIONS SINGAPORE PTE LTD</t>
  </si>
  <si>
    <t>TAN TOCK SENG HOSPITAL PTE LTD</t>
  </si>
  <si>
    <t>已知实体：陈笃生医院，公立</t>
  </si>
  <si>
    <t>MEDIATEK SINGAPORE PTE LTD</t>
  </si>
  <si>
    <t>WISTA LAB LTD</t>
  </si>
  <si>
    <t>DH TECHNOLOGIES DEV PTE LTD</t>
  </si>
  <si>
    <t>TEMASEK LIFE SCIENCES LABORATORY LTD</t>
  </si>
  <si>
    <t>FLEX LTD</t>
  </si>
  <si>
    <t>NEC ASIA PACIFIC PTE LTD</t>
  </si>
  <si>
    <t>NANO &amp; ADVANCED MATERIALS INST LTD</t>
  </si>
  <si>
    <r>
      <rPr>
        <sz val="9"/>
        <color rgb="FF595959"/>
        <rFont val="Noto Sans CJK SC"/>
        <family val="2"/>
      </rPr>
      <t>已知实体：</t>
    </r>
    <r>
      <rPr>
        <sz val="9"/>
        <color rgb="FF595959"/>
        <rFont val="Arial"/>
        <family val="2"/>
      </rPr>
      <t>NAMI</t>
    </r>
  </si>
  <si>
    <t>RAKUTEN SYMPHONY SINGAPORE PTE LTD</t>
  </si>
  <si>
    <t>PUZHEN LIFE CO LTD</t>
  </si>
  <si>
    <t>FMC AGRO SINGAPORE PTE LTD</t>
  </si>
  <si>
    <t>TALENGEN INT LTD</t>
  </si>
  <si>
    <t>SCINOPHARM SINGAPORE PTE LTD</t>
  </si>
  <si>
    <t>AGENCY FOR SCIENCE TECH AND RESEARCH ASTARSTAR</t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</si>
  <si>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2"/>
      </rPr>
      <t xml:space="preserve">INST/AGENCY/HOSPITAL/COUNCIL/CENTRE FOR </t>
    </r>
    <r>
      <rPr>
        <sz val="9"/>
        <color rgb="FF595959"/>
        <rFont val="Noto Sans CJK SC"/>
        <family val="2"/>
      </rPr>
      <t>等公营词</t>
    </r>
  </si>
  <si>
    <t>NORTH &amp; SOUTH BROTHER PHARMACY INVESTMENT CO LTD</t>
  </si>
  <si>
    <t>THUNDER POWER HONG KONG LTD</t>
  </si>
  <si>
    <t>HUIDAGENE THERAPEUTICS SINGAPORE PTE LTD</t>
  </si>
  <si>
    <t>ORBUSNEICH MEDICAL PTE LTD</t>
  </si>
  <si>
    <t>TRAX TECHNOLOGY SOLUTIONS PTE LTD</t>
  </si>
  <si>
    <t>DSG TECHNOLOGY HOLDINGS LTD</t>
  </si>
  <si>
    <t>THUNDER POWER NEW ENERGY VEHICLE DEVELOPMENT CO LTD</t>
  </si>
  <si>
    <t>UNIV HONG KONG SCIENCE &amp; TECH</t>
  </si>
  <si>
    <t>WELL BEING DIGITAL LTD</t>
  </si>
  <si>
    <t>OXTI PTE LTD</t>
  </si>
  <si>
    <t>RAZER ASIA PACIFIC PTE LTD</t>
  </si>
  <si>
    <t>UST GLOBAL SINGAPORE PTE LTD</t>
  </si>
  <si>
    <t>ANTS TECH HK LIMITED</t>
  </si>
  <si>
    <t>LOGISTICS AND SUPPLY CHAIN MULTITECH R&amp;D CENTRE LTD</t>
  </si>
  <si>
    <t>AVAGO TECHNOLOGIES GENERAL IP</t>
  </si>
  <si>
    <r>
      <rPr>
        <sz val="9"/>
        <color rgb="FF595959"/>
        <rFont val="Noto Sans CJK SC"/>
        <family val="2"/>
      </rPr>
      <t>已知实体：</t>
    </r>
    <r>
      <rPr>
        <sz val="9"/>
        <color rgb="FF595959"/>
        <rFont val="Arial"/>
        <family val="2"/>
      </rPr>
      <t xml:space="preserve">Broadcom </t>
    </r>
    <r>
      <rPr>
        <sz val="9"/>
        <color rgb="FF595959"/>
        <rFont val="Noto Sans CJK SC"/>
        <family val="2"/>
      </rPr>
      <t xml:space="preserve">旗下 </t>
    </r>
    <r>
      <rPr>
        <sz val="9"/>
        <color rgb="FF595959"/>
        <rFont val="Arial"/>
        <family val="2"/>
      </rPr>
      <t xml:space="preserve">IP </t>
    </r>
    <r>
      <rPr>
        <sz val="9"/>
        <color rgb="FF595959"/>
        <rFont val="Noto Sans CJK SC"/>
        <family val="2"/>
      </rPr>
      <t>主体</t>
    </r>
  </si>
  <si>
    <t>DELTA ELECTRONICS INT’L SINGAPORE PTE LTD</t>
  </si>
  <si>
    <t>HUMMINGBIRD BIOSCIENCE PTE LTD</t>
  </si>
  <si>
    <t>WILMAR INTERNATIONAL LTD</t>
  </si>
  <si>
    <t>CHOW KI SHUI LOUIE</t>
  </si>
  <si>
    <t>UNIV HONG KONG BAPTIST</t>
  </si>
  <si>
    <t>AON GLOBAL OPERATIONS LTD SINGAPORE BRANCH</t>
  </si>
  <si>
    <t>BECTON DICKINSON HOLDINGS PTE LTD</t>
  </si>
  <si>
    <t>CELLRESEARCH CORP PTE LTD</t>
  </si>
  <si>
    <t>LEICA INSTR (SINGAPORE) PTE LTD</t>
  </si>
  <si>
    <t>LUCENCE LIFE SCIENCES PTE LTD</t>
  </si>
  <si>
    <t>SUNIA PTE LTD</t>
  </si>
  <si>
    <t>TELEFIELD MEDICAL IMAGING LTD</t>
  </si>
  <si>
    <t>ALIBABA INNOVATION PRIVATE LTD</t>
  </si>
  <si>
    <t>ALIBABA SINGAPORE HOLDING PRIVATE LTD</t>
  </si>
  <si>
    <t>GP NETWORK ASIA PTE LTD</t>
  </si>
  <si>
    <t>MATTEUCCI GIANFRANCO</t>
  </si>
  <si>
    <t>TELEFLEX LIFE SCIENCES PTE LTD</t>
  </si>
  <si>
    <t>HEPAGENE THERAPEUTICS HK LTD</t>
  </si>
  <si>
    <t>LUCAS GC LTD</t>
  </si>
  <si>
    <t>AAC TECHNOLOGIES PTE LTD</t>
  </si>
  <si>
    <t>ADAGENE PTE LTD</t>
  </si>
  <si>
    <t>ANTCHAIN TECH PTE LTD</t>
  </si>
  <si>
    <t>EINNOVATIONS HOLDINGS PTE LTD</t>
  </si>
  <si>
    <t>NAT SKIN CENTRE SINGAPORE PTE LTD</t>
  </si>
  <si>
    <t>NITTO DENKO CORP</t>
  </si>
  <si>
    <t>TESSA THERAPEUTICS LTD</t>
  </si>
  <si>
    <t>AI BIOMATERIAL HEALTHTECH LTD</t>
  </si>
  <si>
    <t>FIH HONG KONG LTD</t>
  </si>
  <si>
    <t>MOFFETT INTERNATIONAL CO LIMITED</t>
  </si>
  <si>
    <t>CREATIVE TECH LTD</t>
  </si>
  <si>
    <t>EPITRONIC HOLDINGS PTE LTD</t>
  </si>
  <si>
    <t>HEPTAGON MICRO OPTICS PTE LTD</t>
  </si>
  <si>
    <t>PANEXO BIOTECH SG PTE LTD</t>
  </si>
  <si>
    <t>RAPSODO PTE LTD</t>
  </si>
  <si>
    <t>RENEW GROUP PRIVATE LTD</t>
  </si>
  <si>
    <t>ASIA PACIFIC MEDICAL TECH DEVELOPMENT COMPANY LTD</t>
  </si>
  <si>
    <t>HIFIBIO HK LTD</t>
  </si>
  <si>
    <t>MOFFETT INTERNATIONAL CO LTD</t>
  </si>
  <si>
    <t>AMS SENSORS SINGAPORE PTE LTD</t>
  </si>
  <si>
    <t>AON GLOBAL OPERATIONS SE SINGAPORE BRANCH</t>
  </si>
  <si>
    <t>ENVISION DIGITAL INT PTE LTD</t>
  </si>
  <si>
    <t>FORTVITA BIOLOGICS SINGAPORE PTE LTD</t>
  </si>
  <si>
    <t>HUMMINGBIRD BIOSCIENCE HOLDINGS PTE LTD</t>
  </si>
  <si>
    <t>MIRXES LAB PTE LTD</t>
  </si>
  <si>
    <t>JUPENG BIO HK LTD</t>
  </si>
  <si>
    <t>MOFFETT TECH CO LIMITED</t>
  </si>
  <si>
    <t>ADVANCED NOVA TECH SINGAPORE HOLDING PTE LTD</t>
  </si>
  <si>
    <t>AWAK TECH PTE LTD</t>
  </si>
  <si>
    <t>CREDO BIOMEDICAL PTE LTD</t>
  </si>
  <si>
    <t>ENGINE BIOSCIENCES PTE LTD</t>
  </si>
  <si>
    <t>Hoya Medical Singapore Pte Ltd</t>
  </si>
  <si>
    <t>KAHA PTE LTD</t>
  </si>
  <si>
    <t>LIFESTYLES HEALTHCARE PTE LTD</t>
  </si>
  <si>
    <t>POINT ROBOTICS SINGAPORE PTE LTD</t>
  </si>
  <si>
    <t>RAZER (ASIA-PACIFIC) PTE LTD</t>
  </si>
  <si>
    <t>ACCRO BIOSCIENCE HK LTD</t>
  </si>
  <si>
    <t>BANMA ZHIXING NETWORK HONGKONG CO LTD</t>
  </si>
  <si>
    <t>BANUBA LTD</t>
  </si>
  <si>
    <t>CAINIAO SMART LOGISTICS NETWORK HONG KONG LTD</t>
  </si>
  <si>
    <t>COMPUTIME LTD</t>
  </si>
  <si>
    <t>MULTI SCALE MEDICAL ROBOTICS CENTER LTD</t>
  </si>
  <si>
    <t>NAL PHARMACEUTICAL GROUP LTD</t>
  </si>
  <si>
    <t>NOVOHEART INTERNATIONAL LTD</t>
  </si>
  <si>
    <t>PHASE SCIENT INTERNATIONAL LTD</t>
  </si>
  <si>
    <t>PREC ROBOTICS HONG KONG LIMITED</t>
  </si>
  <si>
    <t>TOP VICTORY INVESTMENTS LTD</t>
  </si>
  <si>
    <t>WORLD WIDE DAILY HOLDINGS CO LTD</t>
  </si>
  <si>
    <t>ACM BIOLABS PTE LTD</t>
  </si>
  <si>
    <t>AGENCY FOR SCIENCE TECH AND RES (A*STAR)</t>
  </si>
  <si>
    <t>BITWAVE PTE LTD</t>
  </si>
  <si>
    <t>EKO AI PTE LTD</t>
  </si>
  <si>
    <t>EPIC MEDICAL PTE LTD</t>
  </si>
  <si>
    <t>LIFE TECH HOLDINGS PTE LIMITED</t>
  </si>
  <si>
    <t>LIM CHEE YEN</t>
  </si>
  <si>
    <t>NGEE ANN POLYTECHNIC</t>
  </si>
  <si>
    <t>ONECONNECT FINANCIAL TECH SINGAPORE CO PTE LTD</t>
  </si>
  <si>
    <t>PERFORMANCE LABS PTE LTD</t>
  </si>
  <si>
    <t>PVP LABS PTE LTD</t>
  </si>
  <si>
    <t>TEMASEK LIFE SCIENCES LAB LTD</t>
  </si>
  <si>
    <t>TESSA THERAPEUTICS PTE LTD</t>
  </si>
  <si>
    <t>BBPOS LTD</t>
  </si>
  <si>
    <t>CELLULAR BIOMEDICINE GROUP HK LTD</t>
  </si>
  <si>
    <t>CRAGE MEDICAL CO LTD</t>
  </si>
  <si>
    <t>ELIXIRON IMMUNOTHERAPEUTICS HONG KONG LTD</t>
  </si>
  <si>
    <t>ENANO HEALTH LTD</t>
  </si>
  <si>
    <t>GOODIX TECH HK COMPANY LIMITED</t>
  </si>
  <si>
    <t>HO HOI MING MICHAEL</t>
  </si>
  <si>
    <t>Health Hope Pharma HK Ltd</t>
  </si>
  <si>
    <t>JI XING PHARMACEUTICALS HONG KONG LTD</t>
  </si>
  <si>
    <t>MOFFETT TECHNOLOGIES CO LIMITED</t>
  </si>
  <si>
    <t>RMW CHO GROUP LTD</t>
  </si>
  <si>
    <t>SUNASIC TECH LIMITED</t>
  </si>
  <si>
    <t>TAVOTEK BIOTHERAPEUTICS HONG KONG LTD</t>
  </si>
  <si>
    <t>TENACIA BIOTECHNOLOGY HONG KONG CO LTD</t>
  </si>
  <si>
    <t>UNIV HONG KONG SCI &amp; TECH</t>
  </si>
  <si>
    <t>ALEXANDRA HEALTH PTE LTD</t>
  </si>
  <si>
    <t>AON GLOBAL OPERATIONS PLC SINGAPORE BRANCH</t>
  </si>
  <si>
    <t>AVANSEUS HOLDINGS PTE LTD</t>
  </si>
  <si>
    <t>CERTIS CISCO SECURITY PTE LTD</t>
  </si>
  <si>
    <t>CREDO DIAGNOSTICS BIOMEDICAL PTE LTD</t>
  </si>
  <si>
    <t>DATHENA SCIENCE PTE LTD</t>
  </si>
  <si>
    <t>ENDOMASTER PTE LTD</t>
  </si>
  <si>
    <t>EVYD TECH LIMITED</t>
  </si>
  <si>
    <t>HAISCO PHARMACEUTICALS PTE LTD</t>
  </si>
  <si>
    <t>HISTOINDEX PTE LTD</t>
  </si>
  <si>
    <t>HUIKE SINGAPORE HOLDING PTE LTD</t>
  </si>
  <si>
    <t>INNOVENT BIOLOGICS SINGAPORE PTE LTD</t>
  </si>
  <si>
    <t>JAGUAHR THERAPEUTICS PTE LTD</t>
  </si>
  <si>
    <t>JING KING TECH HOLDINGS PTE LTD</t>
  </si>
  <si>
    <t>LIGHTELLIGENCE PTE LTD</t>
  </si>
  <si>
    <t>NAT UNIV HOSPITAL (SINGAPORE) PTE LTD</t>
  </si>
  <si>
    <t>NEAR PTE LTD</t>
  </si>
  <si>
    <t>OSIM INT PTE LTD</t>
  </si>
  <si>
    <t>SINGAPORE MANAGEMENT UNIV</t>
  </si>
  <si>
    <t>SINGAPORE UNIV OF TECH AND DESIGN</t>
  </si>
  <si>
    <t>SOPHIES BIONUTRIENTS PTE LTD</t>
  </si>
  <si>
    <t>YITU PTE LTD</t>
  </si>
  <si>
    <t>ACT GENOMICS IP CO LTD</t>
  </si>
  <si>
    <t>ATHENEX HK INNOVATIVE LTD</t>
  </si>
  <si>
    <t>BETTER AIR INTERNATIONAL LTD</t>
  </si>
  <si>
    <t>CENTRE FOR NOVOSTICS</t>
  </si>
  <si>
    <r>
      <rPr>
        <sz val="9"/>
        <color rgb="FF595959"/>
        <rFont val="Noto Sans CJK SC"/>
        <family val="2"/>
      </rPr>
      <t>已知实体：</t>
    </r>
    <r>
      <rPr>
        <sz val="9"/>
        <color rgb="FF595959"/>
        <rFont val="Arial"/>
        <family val="2"/>
      </rPr>
      <t xml:space="preserve">InnoHK </t>
    </r>
    <r>
      <rPr>
        <sz val="9"/>
        <color rgb="FF595959"/>
        <rFont val="Noto Sans CJK SC"/>
        <family val="2"/>
      </rPr>
      <t>中心</t>
    </r>
  </si>
  <si>
    <t>FBD BIOLOGICS LTD</t>
  </si>
  <si>
    <t>FULL LIFE TECH HK LIMITED</t>
  </si>
  <si>
    <t>IEMIS HK LTD</t>
  </si>
  <si>
    <t>LIM MENG TENG</t>
  </si>
  <si>
    <t>NOVOHEART LTD</t>
  </si>
  <si>
    <t>PANGU BIOPHARMA LTD</t>
  </si>
  <si>
    <t>PERFECT VISION TECH HK LTD</t>
  </si>
  <si>
    <t>TRZECIESKI MICHAEL ALEXANDER</t>
  </si>
  <si>
    <t>VISION GLOBAL HOLDINGS LTD</t>
  </si>
  <si>
    <t>ADVENT ACCESS PTE LTD</t>
  </si>
  <si>
    <t>BACTOCLEAR HOLDINGS PTE LTD</t>
  </si>
  <si>
    <t>BIOBOT SURGICAL PTE LTD</t>
  </si>
  <si>
    <t>CARMINE THERAPEUTICS PTE LTD</t>
  </si>
  <si>
    <t>CHANGI GENERAL HOSPITAL PTE LTD</t>
  </si>
  <si>
    <t>已知实体：樟宜综合医院，公立</t>
  </si>
  <si>
    <t>CMS RES &amp; DEVELOPMENT PTE LTD</t>
  </si>
  <si>
    <t>GREY ORANGE PTE LTD</t>
  </si>
  <si>
    <t>IMUNAMI LABORATORIES PTE LTD</t>
  </si>
  <si>
    <t>LIFE TECH HOLDINGS PTE LTD</t>
  </si>
  <si>
    <t>LIU BINGBING</t>
  </si>
  <si>
    <t>MASTERCARD ASIA</t>
  </si>
  <si>
    <r>
      <rPr>
        <sz val="9"/>
        <color rgb="FF595959"/>
        <rFont val="Noto Sans CJK SC"/>
        <family val="2"/>
      </rPr>
      <t>已知实体：</t>
    </r>
    <r>
      <rPr>
        <sz val="9"/>
        <color rgb="FF595959"/>
        <rFont val="Arial"/>
        <family val="2"/>
      </rPr>
      <t>Mastercard</t>
    </r>
    <r>
      <rPr>
        <sz val="9"/>
        <color rgb="FF595959"/>
        <rFont val="Noto Sans CJK SC"/>
        <family val="2"/>
      </rPr>
      <t xml:space="preserve">，同名主体另有 </t>
    </r>
    <r>
      <rPr>
        <sz val="9"/>
        <color rgb="FF595959"/>
        <rFont val="Arial"/>
        <family val="2"/>
      </rPr>
      <t xml:space="preserve">PTE LTD </t>
    </r>
    <r>
      <rPr>
        <sz val="9"/>
        <color rgb="FF595959"/>
        <rFont val="Noto Sans CJK SC"/>
        <family val="2"/>
      </rPr>
      <t>版</t>
    </r>
  </si>
  <si>
    <t>MEIBAN INT PTE LTD</t>
  </si>
  <si>
    <t>METABRAIN TECH PTE LTD</t>
  </si>
  <si>
    <t>NOVEX SCIENCE PTE LTD</t>
  </si>
  <si>
    <t>PRESTIGE BIOPHARMA PTE LTD</t>
  </si>
  <si>
    <t>SMITH &amp; NEPHEW ASIA PACIFIC PTD LTD</t>
  </si>
  <si>
    <t>SOTER BIOPHARMA PTE LTD</t>
  </si>
  <si>
    <t>STRUCTO PTE LTD</t>
  </si>
  <si>
    <t>TEMASEK POLYTECHNIC</t>
  </si>
  <si>
    <t>UCWEB SINGAPORE PTE LTD</t>
  </si>
  <si>
    <t>VELA OPERATIONS SINGAPORE PTE LTD</t>
  </si>
  <si>
    <t>VIATRIS ASIA PACIFIC PTE LTD</t>
  </si>
  <si>
    <t>ACERAND THERAPEUTICS HONG KONG LTD</t>
  </si>
  <si>
    <t>ACT GENOMICS IP LTD</t>
  </si>
  <si>
    <t>ANTENGENE BIOLOGICS LTD</t>
  </si>
  <si>
    <t>ANTENGENE DISCOVERY LTD</t>
  </si>
  <si>
    <t>ARBELE LTD</t>
  </si>
  <si>
    <t>CORXEL PHARMACEUTICALS HONG KONG LTD</t>
  </si>
  <si>
    <t>GRAND DECADE DEVELOPMENTS LTD</t>
  </si>
  <si>
    <t>HOVIONE INT LTD</t>
  </si>
  <si>
    <t>IP FULL ASSET LTD</t>
  </si>
  <si>
    <t>NANOMAB TECH LIMITED</t>
  </si>
  <si>
    <t>PROVIVA THERAPEUTICS HONG KONG LTD</t>
  </si>
  <si>
    <t>REHAB ROBOTICS COMPANY LTD</t>
  </si>
  <si>
    <t>SINOMAB BIOSCIENCE LTD</t>
  </si>
  <si>
    <t>AMS OSRAM ASIA PACIFIC PTE LTD</t>
  </si>
  <si>
    <t>ASMPT SINGAPORE PTE LTD</t>
  </si>
  <si>
    <t>BIOSIGNS PTE LTD</t>
  </si>
  <si>
    <t>CHISCAN HOLDINGS PTE LTD</t>
  </si>
  <si>
    <t>CLOUD INTELLIGENCE ASSETS HOLDING SINGAPORE PRIVATE LTD</t>
  </si>
  <si>
    <t>DATASPARK PTE LTD</t>
  </si>
  <si>
    <t>EVEREST MEDICINES SINGAPORE PTE LTD</t>
  </si>
  <si>
    <t>FLEXXON PTE LTD</t>
  </si>
  <si>
    <t>GARENA ONLINE PRIVATE LTD</t>
  </si>
  <si>
    <t>HILL-ROM SERVICES PTE LTD</t>
  </si>
  <si>
    <t>HUMMINGBIRD BIOSCIENCE HOLDINGS LTD</t>
  </si>
  <si>
    <t>INMAGENE PTE LTD</t>
  </si>
  <si>
    <t>Kang Liat KENG</t>
  </si>
  <si>
    <t>MARVELL ASIA PTE LTD REGISTRATION NO 199702379M</t>
  </si>
  <si>
    <t>MATRIX TECH PTE LTD</t>
  </si>
  <si>
    <t>MBP INSIGHTS INC</t>
  </si>
  <si>
    <t>MOJIA BIOTECH PTE LTD</t>
  </si>
  <si>
    <t>MOLEAC PTE LTD</t>
  </si>
  <si>
    <t>NAT UNIVERSITY HOSPITAL SINGAPORE PTE LTD</t>
  </si>
  <si>
    <t>NATIONAL UNIV HOSPITAL (SINGAPORE) PTE LTD</t>
  </si>
  <si>
    <t>OSLABS PTE LTD</t>
  </si>
  <si>
    <t>PCCW VUCLIP SINGAPORE PTE LTD</t>
  </si>
  <si>
    <t>QUATTRO VASCULAR PTE LTD</t>
  </si>
  <si>
    <t>RACER TECH PTE LTD</t>
  </si>
  <si>
    <t>SINGAPORE TELECOMMUNICATIONS LTD</t>
  </si>
  <si>
    <t>THE BIOFACTORY PTE LTD</t>
  </si>
  <si>
    <t>TRAVECTA THERAPEUTICS PTE LTD</t>
  </si>
  <si>
    <t>TRICOG HEALTH PTE LTD</t>
  </si>
  <si>
    <t>VERRENCY HOLDINGS LTD</t>
  </si>
  <si>
    <t>Vios Medical Singapore PTE LTD</t>
  </si>
  <si>
    <t>WISORIG TECH PTE LIMITED</t>
  </si>
  <si>
    <t>6J BIOTECHNOLOGY HONG KONG LTD</t>
  </si>
  <si>
    <t>AEOLUS ROBOTICS CORPORATION LTD</t>
  </si>
  <si>
    <t>APRINOIA THERAPEUTICS LTD</t>
  </si>
  <si>
    <t>ASIA PACIFIC MEDICAL TECH DEV COMPANY LTD</t>
  </si>
  <si>
    <t>BELUN TECH IP COMPANY LIMITED</t>
  </si>
  <si>
    <t>CENTRE FOR NOVOSTICS LTD</t>
  </si>
  <si>
    <t>CONNECT BIOPHARMA HONGKONG LTD</t>
  </si>
  <si>
    <t>EIELING TECH LIMITED</t>
  </si>
  <si>
    <t>Fg innovation co ltd</t>
  </si>
  <si>
    <t>GA HEALTH COMPANY LTD</t>
  </si>
  <si>
    <t>GENEDITBIO LTD</t>
  </si>
  <si>
    <t>HEALTH HOPE PHARMA LTD</t>
  </si>
  <si>
    <t>HONG KONG PRODUCTIVITY COUNCIL</t>
  </si>
  <si>
    <t>已知实体：生产力促进局</t>
  </si>
  <si>
    <t>INNOVATIVE PREC INSTRUMENTS LIMITED</t>
  </si>
  <si>
    <t>LAM DOMINIC MAN KIT</t>
  </si>
  <si>
    <t>LAM YUEN LEE VIOLA</t>
  </si>
  <si>
    <t>LONG SHENG FARMA LTD</t>
  </si>
  <si>
    <t>MAKE GREAT SALES LTD</t>
  </si>
  <si>
    <t>MAST INDUSTRIES FAR EAST LTD</t>
  </si>
  <si>
    <t>MEHTA RAMAN</t>
  </si>
  <si>
    <t>MICROBIOTA I CENTER MAGIC LTD</t>
  </si>
  <si>
    <t>PERFECT VISION TECH (HK) LTD</t>
  </si>
  <si>
    <t>PLESON HK TECH LIMITED</t>
  </si>
  <si>
    <t>PURECODON HONG KONG BIOPHARMA LTD</t>
  </si>
  <si>
    <t>RONA BIOSCIENCE LTD</t>
  </si>
  <si>
    <t>RONDISH COMPANY LTD</t>
  </si>
  <si>
    <t>SCION MEDICAL LTD</t>
  </si>
  <si>
    <t>SOFT LINES INT LTD</t>
  </si>
  <si>
    <t>SOFT LINES INTERNATIONAL LTD</t>
  </si>
  <si>
    <t>SYNERK BIOTECH LTD</t>
  </si>
  <si>
    <t>THE EDUCATION UNIV OF HONG KONG</t>
  </si>
  <si>
    <t>THUNDER POWER NEW ENERGY VEHICLE DEV CO LTD</t>
  </si>
  <si>
    <t>TYRAFOS TECHNOLOGIES CO LIMITED</t>
  </si>
  <si>
    <t>WAVETOUCH LTD</t>
  </si>
  <si>
    <t>YICHEN THERAPEUTICS LTD</t>
  </si>
  <si>
    <t>ZEN DESIGN SOLUTIONS LTD</t>
  </si>
  <si>
    <t>23IKIGAI PTE LTD</t>
  </si>
  <si>
    <t>AFFLE INT PTE LTD</t>
  </si>
  <si>
    <t>AMARANTH MEDICAL PTE</t>
  </si>
  <si>
    <t>AMKOR TECH SINGAPORE HOLDING PTE LTD</t>
  </si>
  <si>
    <t>AMS SENSORS ASIA PTE LTD</t>
  </si>
  <si>
    <t>ASM TECH SINGAPORE PTE LTD</t>
  </si>
  <si>
    <t>AUSTRIANOVA SINGAPORE PTE LTD</t>
  </si>
  <si>
    <t>BCS BUSINESS CONSULTING SERVICES PTE LTD</t>
  </si>
  <si>
    <t>BITMAINTECH PTE LTD</t>
  </si>
  <si>
    <t>CHAO TAR TOONG VICTOR</t>
  </si>
  <si>
    <t>CHNG WENG WAH</t>
  </si>
  <si>
    <t>CONTINENTAL AUTOMOTIVE SINGAPORE PTE LTD</t>
  </si>
  <si>
    <t>DYSON OPERATIONS PTE LTD</t>
  </si>
  <si>
    <t>Delta Electronics Int'l (Singapore) Pte Ltd</t>
  </si>
  <si>
    <t>EDGECORTIX PTE LTD</t>
  </si>
  <si>
    <t>ELID TECH INTERNATIONAL PTE LTD</t>
  </si>
  <si>
    <t>EMAGE VISION PTE LTD</t>
  </si>
  <si>
    <t>ENSIGN INFOSECURITY PTE LTD</t>
  </si>
  <si>
    <t>EPIGENIC THERAPEUTICS PTE LTD</t>
  </si>
  <si>
    <t>ESCO ASTER PTE LTD</t>
  </si>
  <si>
    <t>ETERNAL GRACE PTE LTD</t>
  </si>
  <si>
    <t>GENESIS MEDTECH INTERNATIONAL PRIVATE LTD</t>
  </si>
  <si>
    <t>GERO PTE LTD</t>
  </si>
  <si>
    <t>GLENN ROBERT WAYNE JR</t>
  </si>
  <si>
    <t>GROUP IB GLOBAL PRIVATE LTD</t>
  </si>
  <si>
    <t>GUETA LOUNELL BAHOY</t>
  </si>
  <si>
    <t>HERAEUS MATERIALS SINGAPORE PTE LTD</t>
  </si>
  <si>
    <t>HUAWEI INT PTE LTD</t>
  </si>
  <si>
    <t>IMMUNOSCAPE PTE LTD</t>
  </si>
  <si>
    <t>INMOBI PTE LTD</t>
  </si>
  <si>
    <t>INVIVO MEDICAL PTE LTD</t>
  </si>
  <si>
    <t>IX BIOPHARMA LTD</t>
  </si>
  <si>
    <t>JOYME PTE LTD</t>
  </si>
  <si>
    <t>JUNION LABS PTE LTD</t>
  </si>
  <si>
    <t>LI XIAOPING</t>
  </si>
  <si>
    <t>LIM CHONG HEE</t>
  </si>
  <si>
    <t>LIN WUJUAN</t>
  </si>
  <si>
    <t>LION TCR PTE LTD</t>
  </si>
  <si>
    <t>MEDEZE TREASURY PTE LTD</t>
  </si>
  <si>
    <t>MENICON SINGAPORE PTE LTD</t>
  </si>
  <si>
    <t>NANYANG POLYTECHNIC</t>
  </si>
  <si>
    <t>NCS PTE LTD</t>
  </si>
  <si>
    <t>NDR MEDICAL TECH PTE LTD</t>
  </si>
  <si>
    <t>NEPHEW ASIA PACIFIC PTE LTD</t>
  </si>
  <si>
    <t>OKADA TOSHIYUKI</t>
  </si>
  <si>
    <t>PEREGRINE OPHTHALMIC PTE LTD</t>
  </si>
  <si>
    <t>Poly Gain Pte Ltd</t>
  </si>
  <si>
    <t>RADWISP PTE LTD</t>
  </si>
  <si>
    <t>REALTEK SINGAPORE PRIVATE LTD</t>
  </si>
  <si>
    <t>RHEA GENETICS PTE LTD</t>
  </si>
  <si>
    <t>RYNAN TECH PTE LTD</t>
  </si>
  <si>
    <t>SINGAPORE VOLITION PTE LTD</t>
  </si>
  <si>
    <t>STAR ARRAY PTE LTD</t>
  </si>
  <si>
    <t>TAN TOCK SENG HOSPITAL</t>
  </si>
  <si>
    <t>TRISAIL MEDICAL PTE LTD</t>
  </si>
  <si>
    <t>VELA OPERATIONS PTE LTD</t>
  </si>
  <si>
    <t>VISENZE PTE LTD</t>
  </si>
  <si>
    <t>VISIOTECH VENTURES PTE LTD</t>
  </si>
  <si>
    <t>VOXP PTE LTD</t>
  </si>
  <si>
    <t>WUXI XDC SINGAPORE PRIVATE LTD</t>
  </si>
  <si>
    <t>XIA QIAN</t>
  </si>
  <si>
    <t>XYLONIX IP HOLDINGS PTE LTD</t>
  </si>
  <si>
    <t>XYLONIX PTE LTD</t>
  </si>
  <si>
    <t>YISHENG BIOPHARMA SINGAPORE PTE LTD</t>
  </si>
  <si>
    <t>ZHAO HE</t>
  </si>
  <si>
    <t>ALCOLEAR LTD</t>
  </si>
  <si>
    <t>AMORV IP COMPANY LTD</t>
  </si>
  <si>
    <t>ANTS TECH (HK) LTD</t>
  </si>
  <si>
    <t>ASIA PACIFIC MEDICAL TECHNOLOGY DEVELOPMENT COMPANY LTD</t>
  </si>
  <si>
    <t>AVALON BIOMEDICAL MAN LIMITED</t>
  </si>
  <si>
    <t>AVALON STERITECH LTD</t>
  </si>
  <si>
    <t>AVANT MEATS COMPANY LTD</t>
  </si>
  <si>
    <t>BGI HEALTH HK COMPANY LTD</t>
  </si>
  <si>
    <t>BILLION KING INT LTD</t>
  </si>
  <si>
    <t>BYTON LTD</t>
  </si>
  <si>
    <t>Bloomy Lotus Ltd</t>
  </si>
  <si>
    <t>CANWELL BIOTECH LTD</t>
  </si>
  <si>
    <t>CHEER GLOBAL LTD</t>
  </si>
  <si>
    <t>CHEN KWOK FAI</t>
  </si>
  <si>
    <t>CHIU YIN TO</t>
  </si>
  <si>
    <t>CTR INTELLECTUAL PROPERTY CO LTD</t>
  </si>
  <si>
    <t>DIGILOCK ASIA LTD</t>
  </si>
  <si>
    <t>EMV ENHANCE HK LTD</t>
  </si>
  <si>
    <t>EPIMAB BIOTHERAPEUTICS HK LTD</t>
  </si>
  <si>
    <t>EPISODE SIX LTD</t>
  </si>
  <si>
    <t>EVERGREEN LAND LTD</t>
  </si>
  <si>
    <t>HEALTH AND HAPPINESS H&amp;H HONG KONG LTD</t>
  </si>
  <si>
    <t>HEARTISANS LTD</t>
  </si>
  <si>
    <t>HKG EPITHERAPEUTICS LTD</t>
  </si>
  <si>
    <t>HOVIONE HOLDING LTD</t>
  </si>
  <si>
    <t>INCEPTIO HONGKONG LTD</t>
  </si>
  <si>
    <t>INNOTECH APPLIANCE LTD</t>
  </si>
  <si>
    <t>INNOVATIVE PREC INSTR LTD</t>
  </si>
  <si>
    <t>ITABMED HK LTD</t>
  </si>
  <si>
    <t>JOHN TECH HOLDINGS LIMITED</t>
  </si>
  <si>
    <t>LONGQ LTD</t>
  </si>
  <si>
    <t>MEDIBOSTON LTD</t>
  </si>
  <si>
    <t>NAL PHARMACEUTICALS LTD</t>
  </si>
  <si>
    <t>NEMO POWER TOOLS LTD</t>
  </si>
  <si>
    <t>NEW LIFE MEDICINE TECH COMPANY LIMITED</t>
  </si>
  <si>
    <t>NIKEGEN LTD</t>
  </si>
  <si>
    <t>OD THERAPEUTICS LTD</t>
  </si>
  <si>
    <t>PLUSAI LTD</t>
  </si>
  <si>
    <t>PUZHEN LIFE CO LIMITED</t>
  </si>
  <si>
    <t>ROTAM AGROCHEM INTERNATIONAL CO LTD</t>
  </si>
  <si>
    <t>SILICON &amp; SYSTEM CO LTD</t>
  </si>
  <si>
    <t>SINOEAST CONCEPT LTD</t>
  </si>
  <si>
    <t>SIRONAX HONG KONG CO LIMITED</t>
  </si>
  <si>
    <t>SOULNANO LTD</t>
  </si>
  <si>
    <t>SPEROGENIX THERAPEUTICS LTD</t>
  </si>
  <si>
    <t>SU SOPHIA HAI YUN</t>
  </si>
  <si>
    <t>TFI DIGITAL MEDIA LTD</t>
  </si>
  <si>
    <t>TOMOIKE BIO LTD</t>
  </si>
  <si>
    <t>TRZECIESKI MICHAEL</t>
  </si>
  <si>
    <t>VIRGILANT TECH LIMITED</t>
  </si>
  <si>
    <t>WIFIRE OPEN NETWORK GROUP LTD</t>
  </si>
  <si>
    <t>WISERS INFORMATION LTD</t>
  </si>
  <si>
    <t>XIANLAN TECH CO LIMITED</t>
  </si>
  <si>
    <t>YEN DING YUAN</t>
  </si>
  <si>
    <t>ZHAOTAI IMMUGENE BIOMEDICINE HONG KONG LTD</t>
  </si>
  <si>
    <t>ACHHRA SANTOSH LACHHMAN</t>
  </si>
  <si>
    <t>ADVANCED FIRST AID RES PTE LTD</t>
  </si>
  <si>
    <t>AES GLOBAL HOLDINGS PTE LTD</t>
  </si>
  <si>
    <t>AGENCY FOR SCIENCE TECH AND RESEARCH (A*STAR)</t>
  </si>
  <si>
    <t>AGENCY FOR SCIENCE TECH AND RESEARCH A*STAR</t>
  </si>
  <si>
    <t>AGENCY FOR SCIENCE TECHNOLOGY AND RESEARCH ASTARSTAR</t>
  </si>
  <si>
    <t>AIPARC HOLDINGS PTE LTD</t>
  </si>
  <si>
    <t>AMARASINGHE SANJAY</t>
  </si>
  <si>
    <t>AMARIS AI PTE LTD</t>
  </si>
  <si>
    <t>AMC FUTURE TECH PTE LTD</t>
  </si>
  <si>
    <t>AMT PTE LTD</t>
  </si>
  <si>
    <t>BRANE COGNITIVES PTE LTD</t>
  </si>
  <si>
    <t>CEREBOS PACIFIC LTD</t>
  </si>
  <si>
    <t>CHAMPS INNOVATIONS PTE LTD</t>
  </si>
  <si>
    <t>CRAFT HEALTH PTE LTD</t>
  </si>
  <si>
    <t>CURIOX BIOSYSTEMS PTE LTD</t>
  </si>
  <si>
    <t>DBS BANK LTD</t>
  </si>
  <si>
    <t>EFFITO PTE LTD</t>
  </si>
  <si>
    <t>ENLEOFEN BIO PTE LTD</t>
  </si>
  <si>
    <t>EPIMEDTECHGLOBAL EMTG</t>
  </si>
  <si>
    <t>ES CELL INT PTE LTD</t>
  </si>
  <si>
    <t>EUCHLOE BIO PTE LTD</t>
  </si>
  <si>
    <t>EVYD RES PRIVATE LIMITED</t>
  </si>
  <si>
    <t>EXPLOR INVEST PTE LTD</t>
  </si>
  <si>
    <t>FITSON SINGAPORE PTE LTD</t>
  </si>
  <si>
    <t>GLOBALFOUNDRIES SG PTE LTD</t>
  </si>
  <si>
    <t>GREYORANGE PTE LTD</t>
  </si>
  <si>
    <t>HANNAH LIFE TECH PTE LTD</t>
  </si>
  <si>
    <t>HOPE TECHNIK PTE LTD</t>
  </si>
  <si>
    <t>HORIZON QUANTUM COMPUTING PTE LTD</t>
  </si>
  <si>
    <t>I SUPPORT PTE LTD</t>
  </si>
  <si>
    <t>INCANDO THERAPEUTICS PTE LTD</t>
  </si>
  <si>
    <t>INNOVATION STREET PTE LTD</t>
  </si>
  <si>
    <t>INST OF BIOENGINEERING AND NANOTECHNOLOGY</t>
  </si>
  <si>
    <t>IRNOVATE PTE LTD</t>
  </si>
  <si>
    <t>JCS BIOTECH PTE LTD</t>
  </si>
  <si>
    <t>KBP BIOSCIENCES PTE LTD</t>
  </si>
  <si>
    <t>KIM HOON</t>
  </si>
  <si>
    <t>KITAJIMA YUSUKE</t>
  </si>
  <si>
    <t>LIFETRACK MEDICAL SYSTEMS PRIVATE LTD</t>
  </si>
  <si>
    <t>LIGATURE THERAPEUTICS PTE LTD</t>
  </si>
  <si>
    <t>LIM KAH MENG</t>
  </si>
  <si>
    <t>LINE BIZPLUS PTE LTD</t>
  </si>
  <si>
    <t>LITE ON SINGAPORE PTE LTD</t>
  </si>
  <si>
    <t>LOH YIN SZE</t>
  </si>
  <si>
    <t>MANN HUMMEL LIFE SCIENCES &amp; ENV HOLDING SINGAPORE PTE LTD</t>
  </si>
  <si>
    <t>MEDISIX THERAPEUTICS INC</t>
  </si>
  <si>
    <t>MEDKLINN TECH PTE LTD</t>
  </si>
  <si>
    <t>MEDO DX PTE LTD</t>
  </si>
  <si>
    <t>MOTIGENIX SINGAPORE PTE LTD</t>
  </si>
  <si>
    <t>NATURION PTE LTD</t>
  </si>
  <si>
    <t>NEC CORP</t>
  </si>
  <si>
    <t>OPULENT ELECTRONICS INT PTE LTD</t>
  </si>
  <si>
    <t>OSIM INT LTD</t>
  </si>
  <si>
    <t>PARAMEVIA PTE LTD</t>
  </si>
  <si>
    <t>PEDRA TECH PTE LTD</t>
  </si>
  <si>
    <t>PROHIBITION X PTE LTD</t>
  </si>
  <si>
    <t>REALTEK SINGAPORE PTE LTD</t>
  </si>
  <si>
    <t>RELIEVE THERAPEUTICS PTE LTD</t>
  </si>
  <si>
    <t>RENEW GROUP PTE LTD</t>
  </si>
  <si>
    <t>RIWAY SINGAPORE PTE LTD</t>
  </si>
  <si>
    <t>ROKT PTE LTD</t>
  </si>
  <si>
    <t>SCG CELL THERAPY PTE LTD</t>
  </si>
  <si>
    <t>SES HOLDINGS PTE LTD</t>
  </si>
  <si>
    <t>SINGAPORE BIOTECH PTE LTD</t>
  </si>
  <si>
    <t>SINGAPORE ZE&amp;Z INT PTE LTD</t>
  </si>
  <si>
    <t>SINGH SHANTNU</t>
  </si>
  <si>
    <t>SMITH &amp; NEPHEW ASIA PACIFIC PTE LIMTED</t>
  </si>
  <si>
    <t>SOCASH PTE LTD</t>
  </si>
  <si>
    <t>STANDARD CHARTERED BANK SINGAPORE LTD</t>
  </si>
  <si>
    <t>Sano V Pte Ltd</t>
  </si>
  <si>
    <t>TACTILIS PTE LTD</t>
  </si>
  <si>
    <t>TAN HOCK HENG DANIEL</t>
  </si>
  <si>
    <t>TAN WILLIAM</t>
  </si>
  <si>
    <t>TENPAY GLOBAL PTE LTD</t>
  </si>
  <si>
    <t>THE CHLOROPLAST PTE LTD</t>
  </si>
  <si>
    <t>THE NATIONAL UNIV OF SINGAPORE</t>
  </si>
  <si>
    <t>THINXTREAM TECH PTD LTD</t>
  </si>
  <si>
    <t>TIKVA ALLOCELL PTE LTD</t>
  </si>
  <si>
    <t>UBER DIAGNOSTICS PTE LTD</t>
  </si>
  <si>
    <t>UNISTRAW HOLDINGS PTE LTD</t>
  </si>
  <si>
    <t>VIZZIO TECH PTE LTD</t>
  </si>
  <si>
    <t>VOYAGER INNOVATIONS HOLDINGS PTE LTD</t>
  </si>
  <si>
    <t>WESTCOM SOLUTIONS PTE LTD</t>
  </si>
  <si>
    <t>WIS TA LABORATORIES LTD</t>
  </si>
  <si>
    <t>WIZ HOLDINGS PTE LTD</t>
  </si>
  <si>
    <t>YCH GROUP PTE LTD</t>
  </si>
  <si>
    <t>YISHENG BIOPHARMA (SINGAPORE) PTE LTD</t>
  </si>
  <si>
    <t>ZHUANG JIANMING</t>
  </si>
  <si>
    <t>ACE COMMUNICATIONS LTD</t>
  </si>
  <si>
    <t>ADVANCED APPLIED TECH LTD</t>
  </si>
  <si>
    <t>ADVANCED BIOMEDICAL INSTRUMENTATION CENTRE LTD</t>
  </si>
  <si>
    <t>AI ROBOTICS LTD</t>
  </si>
  <si>
    <t>ALAMAK BIOSCIENCES INCORPORATION COMPANY LTD</t>
  </si>
  <si>
    <t>ALBAUGH ASIA PACIFIC LTD</t>
  </si>
  <si>
    <t>ALIS PHARMA LTD</t>
  </si>
  <si>
    <t>ANGITIA BIOMEDICINES LTD</t>
  </si>
  <si>
    <t>ANIWEAR COMPANY LTD</t>
  </si>
  <si>
    <t>ANTENGENE THERAPEUTICS LTD</t>
  </si>
  <si>
    <t>ANTPOOL TECH LIMITED</t>
  </si>
  <si>
    <t>APPLIED BIOPHOTONICS LTD</t>
  </si>
  <si>
    <t>APTACURE THERAPEUTICS LTD</t>
  </si>
  <si>
    <t>ARUZE GAMING HONG KONG LTD</t>
  </si>
  <si>
    <t>ASG INSPIRATION LABORATORY LTD</t>
  </si>
  <si>
    <t>ASTEC INT LTD</t>
  </si>
  <si>
    <t>ATHENEX THERAPEUTICS LTD</t>
  </si>
  <si>
    <t>AUSMED GLOBAL LTD</t>
  </si>
  <si>
    <t>AUTOMATION FOR HUMANITY LTD</t>
  </si>
  <si>
    <t>AVALON FLAVIVIRAL THERAPEUTICS HK LTD</t>
  </si>
  <si>
    <t>AVALON HEPAPOC LTD</t>
  </si>
  <si>
    <t>BILLION KING INTERNATIONAL LTD</t>
  </si>
  <si>
    <t>BIO CANCER TREAT INTERNATIONAL LIMITED</t>
  </si>
  <si>
    <t>BIO-MEDICAL ENG (HK) LTD</t>
  </si>
  <si>
    <t>BLUESAIL NEW VALVE TECH ASIA LTD</t>
  </si>
  <si>
    <t>BRIGHT CLINICAL RES LIMITED</t>
  </si>
  <si>
    <t>BRIGHT CLINICAL RES LTD</t>
  </si>
  <si>
    <t>Benir Baby LTD</t>
  </si>
  <si>
    <t>CENTRAL VICTORY LTD HK</t>
  </si>
  <si>
    <t>CHAN WAI LING</t>
  </si>
  <si>
    <t>CHAROENFUPRASERT SULAWAN</t>
  </si>
  <si>
    <t>CHEUNG YUN YU</t>
  </si>
  <si>
    <t>CHING WING HAN</t>
  </si>
  <si>
    <t>CHOW EDMOND K</t>
  </si>
  <si>
    <t>CHOW FUNG LING</t>
  </si>
  <si>
    <t>CHRYSUS INTELLECTUAL PROPERTIES LTD</t>
  </si>
  <si>
    <t>CONTIN TECH LIMITED</t>
  </si>
  <si>
    <t>CONVERGENCE SYSTEMS LTD</t>
  </si>
  <si>
    <t>CREEDON TECH HK LIMITED</t>
  </si>
  <si>
    <t>DAYTON TECH LIMITED</t>
  </si>
  <si>
    <t>DIAGCOR BIOSCIENCE INC LTD</t>
  </si>
  <si>
    <t>ECO BIOMASS TECH COMPANY LIMITED</t>
  </si>
  <si>
    <t>ELEGANT BEST INVESTMENT LTD</t>
  </si>
  <si>
    <t>ENTEROMED LTD</t>
  </si>
  <si>
    <t>FIFTH FORCE TECH LIMITED</t>
  </si>
  <si>
    <t>FLAT PLANET LTD</t>
  </si>
  <si>
    <t>FOREVER CHEER HOLDING LTD</t>
  </si>
  <si>
    <t>FOREVER CHEER INTERNATIONAL LTD</t>
  </si>
  <si>
    <t>FUTURE MOBILITY CORPORATION LTD</t>
  </si>
  <si>
    <t>GENSE TECH LIMITED</t>
  </si>
  <si>
    <t>GIGALINK TECH HOLDING LIMITED</t>
  </si>
  <si>
    <t>GLO BIG BOSS LTD</t>
  </si>
  <si>
    <t>GOLDWAY TECH LIMITED</t>
  </si>
  <si>
    <t>GREAT PACIFIC HOLDINGS LTD</t>
  </si>
  <si>
    <t>GREGERSEN HANS</t>
  </si>
  <si>
    <t>HAMPEN TECH CORPORATION LIMITED</t>
  </si>
  <si>
    <t>HEMIX BIOTECH LTD</t>
  </si>
  <si>
    <t>HO ANDY</t>
  </si>
  <si>
    <t>HOI MING MICHAEL HO</t>
  </si>
  <si>
    <t>HONG KONG IVPS INTERNATIONAL LTD</t>
  </si>
  <si>
    <t>HONG KONG PASSKEY IND CO LTD</t>
  </si>
  <si>
    <t>HUI SING KWONG SAMUEL</t>
  </si>
  <si>
    <t>INGENIO TECH CO LIMITED</t>
  </si>
  <si>
    <t>INNOTIER LTD</t>
  </si>
  <si>
    <t>INSILICO MEDICINE HONG KONG LTD</t>
  </si>
  <si>
    <t>INTELLIGENT HEALTHCARE TECH LIMITED</t>
  </si>
  <si>
    <t>KEI INTERNATIONAL LTD</t>
  </si>
  <si>
    <t>KIKAGO LTD</t>
  </si>
  <si>
    <t>KWB GLOBAL LTD</t>
  </si>
  <si>
    <t>LABORATORY FOR SYNTHETIC CHEMISTRY AND CHEMICAL BIOLOGY LTD</t>
  </si>
  <si>
    <t>LAEKNA LTD</t>
  </si>
  <si>
    <t>LAU CHUN PUT</t>
  </si>
  <si>
    <t>LAU SHU LAM</t>
  </si>
  <si>
    <t>LEAD BILLION LTD</t>
  </si>
  <si>
    <t>LEAPXPERT LTD</t>
  </si>
  <si>
    <t>LEE KA SHEK NEVILLE</t>
  </si>
  <si>
    <t>LEI HAN</t>
  </si>
  <si>
    <t>LIANKANG TECH LIMITED</t>
  </si>
  <si>
    <t>LIFETRONS SWITZERLAND GROUP LTD</t>
  </si>
  <si>
    <t>LIFETRONS SWITZERLAND HOLDINGS LTD</t>
  </si>
  <si>
    <t>LITTLE NOBLEMAN TECH LIMITED</t>
  </si>
  <si>
    <t>LUI YAT WAN</t>
  </si>
  <si>
    <t>MARVEL DIGITAL LTD</t>
  </si>
  <si>
    <t>MSHEAF HEALTH MANAGEMENT TECH LIMITED</t>
  </si>
  <si>
    <t>MU GLOBAL HOLDING LTD</t>
  </si>
  <si>
    <t>NANSHA BIOLOGICS HONG KONG LTD</t>
  </si>
  <si>
    <t>NANSHA BIOLOGIES HONG KONG LTD</t>
  </si>
  <si>
    <t>NEC HONG KONG LTD</t>
  </si>
  <si>
    <t>NEUROGRESS LTD</t>
  </si>
  <si>
    <t>NEWCOMB FERNANDO</t>
  </si>
  <si>
    <t>NG MILLY</t>
  </si>
  <si>
    <t>NIO NEXTEV LTD</t>
  </si>
  <si>
    <t>ONANOFF LTD COMPANY LTD</t>
  </si>
  <si>
    <t>ONEGLOBE HOLDINGS LTD</t>
  </si>
  <si>
    <t>PACBRIDGE PARTNERS II INVEST CO LTD</t>
  </si>
  <si>
    <t>PATHWAY PHARMACEUTICALS LTD</t>
  </si>
  <si>
    <t>PINGSENSE TECH LIMITED</t>
  </si>
  <si>
    <t>POON WING HEI DENNIS</t>
  </si>
  <si>
    <t>POWDER PHARMACEUTICALS INC</t>
  </si>
  <si>
    <t>PUZHEN LIFE CO INC</t>
  </si>
  <si>
    <t>REESTAR INTERNATIONAL LTD</t>
  </si>
  <si>
    <t>RHT LTD</t>
  </si>
  <si>
    <t>RINUAGENE INTERNATIONAL HK LTD</t>
  </si>
  <si>
    <t>SAVELIFE BIOTECHNOLOGY CO LTD</t>
  </si>
  <si>
    <t>SINO INTERNATIONAL GROUP LTD</t>
  </si>
  <si>
    <t>SMART BEAT PROFITS LTD</t>
  </si>
  <si>
    <t>SMARTWAVE MEDICAL HK LTD</t>
  </si>
  <si>
    <t>SOL MILLENNIUM MEDICAL HK LTD</t>
  </si>
  <si>
    <t>SOLOS TECH LIMITED</t>
  </si>
  <si>
    <t>SWISS SPA SYSTEM LTD</t>
  </si>
  <si>
    <t>SZE CHUN KUEN</t>
  </si>
  <si>
    <t>THE CHINESE UNIV OF HONG KONG</t>
  </si>
  <si>
    <t>THERAXYTE BIOSCIENCE HONG KONG LTD</t>
  </si>
  <si>
    <t>TIDETIME SUN LTD</t>
  </si>
  <si>
    <t>TOMORROWS IP LTD</t>
  </si>
  <si>
    <t>UNITED MICROELECTRONICS CENTRE HONG KONG LTD</t>
  </si>
  <si>
    <t>UNIV CITY</t>
  </si>
  <si>
    <t>VICWOOD PROSPERITY TECH LIMITED</t>
  </si>
  <si>
    <t>VINCENT MEDICAL MANUFACTUING CO LTD</t>
  </si>
  <si>
    <t>VIRTUAL CONTROL LTD</t>
  </si>
  <si>
    <t>VOCATIONAL TRAINING COUNCIL</t>
  </si>
  <si>
    <t>WONG KING BONG</t>
  </si>
  <si>
    <t>WORLD BIOTECH REGENERATIVE MEDICAL GROUP LTD</t>
  </si>
  <si>
    <t>WORLD WIDE STATIONERY MFG CO LTD</t>
  </si>
  <si>
    <t>YAHUIKANG LTD</t>
  </si>
  <si>
    <t>YINGCARE LTD</t>
  </si>
  <si>
    <t>ZYETRIC TECH LIMITED</t>
  </si>
  <si>
    <t>7 TRINITY BIOTECH PTE LTD</t>
  </si>
  <si>
    <t>A MENARINI BIOMARKERS SINGAPORE PTE LTD</t>
  </si>
  <si>
    <t>AACHEN SCIENT INTERNATIONAL PTE LTD</t>
  </si>
  <si>
    <t>ABBVIE OPERATIONS SINGAPORE PTE LTD</t>
  </si>
  <si>
    <t>ABM RESPIRATORY CARE PTE LTD</t>
  </si>
  <si>
    <t>ACK3 BIONETICS PTE LTD</t>
  </si>
  <si>
    <t>ACTIVE INTELLIGENCE PTE LTD</t>
  </si>
  <si>
    <t>ADVANCED MEDTECH CORP PTE LTD</t>
  </si>
  <si>
    <t>ADVANIDE HOLDINGS PTE LTD</t>
  </si>
  <si>
    <t>AEM SINGAPORE PTE LTD</t>
  </si>
  <si>
    <t>AGENCY FOR SCIENCE TECH</t>
  </si>
  <si>
    <t>AGENCY FOR SCIENCE TECH AND RESEARCH ASTAR</t>
  </si>
  <si>
    <t>AIOZ PTE LTD</t>
  </si>
  <si>
    <t>AIQ PTE LTD</t>
  </si>
  <si>
    <t>AITREAT PTE LTD</t>
  </si>
  <si>
    <t>ALECTRONA PTE LTD</t>
  </si>
  <si>
    <t>ALMENDRA PTE LTD</t>
  </si>
  <si>
    <t>ALPARC HOLDINGS PTE LTD</t>
  </si>
  <si>
    <t>AMWISE DIAGNOSTICS PTE LTD</t>
  </si>
  <si>
    <t>ANX IIP HOLDING PTE LTD</t>
  </si>
  <si>
    <t>AON GLOBAL OPERATIONS LTD (SINGAPORE BRANCH) (REG T12FC0122F)</t>
  </si>
  <si>
    <t>AON GLOBAL OPERATIONS LTD SINGAPORE BRANCH REG T12FC0122F</t>
  </si>
  <si>
    <t>ARONICA PIETRO</t>
  </si>
  <si>
    <t>ARRIVE PTE LTD</t>
  </si>
  <si>
    <t>ASCENT SOLUTIONS PTE LTD</t>
  </si>
  <si>
    <t>ASIA GENOMICS PTE LTD</t>
  </si>
  <si>
    <t>AUDIO ZOOM PTE LTD</t>
  </si>
  <si>
    <t>AUTONYM PTE LTD</t>
  </si>
  <si>
    <t>AVIR MEDICAL PTE LTD</t>
  </si>
  <si>
    <t>Aon Global Operations Ltd (Singapore Branch)</t>
  </si>
  <si>
    <t>Aurum Medicare Pte Ltd</t>
  </si>
  <si>
    <t>BARK TECH PTE LTD</t>
  </si>
  <si>
    <t>BELOUSSOV SERGUEI</t>
  </si>
  <si>
    <t>BIOMAP INTELLIGENCE TECH SG PTE LTD</t>
  </si>
  <si>
    <t>BIOMAX HOLDINGS PTE LTD</t>
  </si>
  <si>
    <t>BITCLAVE PTE LTD</t>
  </si>
  <si>
    <t>BLUE AQUA INT PTE LTD</t>
  </si>
  <si>
    <t>BREATHONIX PTE LTD</t>
  </si>
  <si>
    <t>CALL LEVELS PTE LTD</t>
  </si>
  <si>
    <t>CAPILLARY TECH INTERNATIONAL PTE LTD</t>
  </si>
  <si>
    <t>CAPRICORN HOLDING PTE LTD</t>
  </si>
  <si>
    <t>CARGENE THERAPEUTICS PTE LTD</t>
  </si>
  <si>
    <t>CELLIGENICS PTE LTD</t>
  </si>
  <si>
    <t>CELLRES CORP PTE LTD</t>
  </si>
  <si>
    <t>CHENG WEN ZHAO</t>
  </si>
  <si>
    <t>CHEONG SIMON KAI TSE</t>
  </si>
  <si>
    <t>CHUA POH LENG JEFFREY</t>
  </si>
  <si>
    <t>CINIME ASIA PACIFIC PTE LTD</t>
  </si>
  <si>
    <t>CLEARLAB SG PTE LTD</t>
  </si>
  <si>
    <t>COGNIUS AI PTE LTD</t>
  </si>
  <si>
    <t>COOLPAY PTE LTD</t>
  </si>
  <si>
    <t>CYBAVO PTE LTD</t>
  </si>
  <si>
    <t>CYNTEK PTE LID</t>
  </si>
  <si>
    <t>DEFUGO TECH PTE LTD</t>
  </si>
  <si>
    <t>DENKA LIFE INNOVATION RES PTE LTD</t>
  </si>
  <si>
    <t>DIGITAL SURGICALS PTE LTD</t>
  </si>
  <si>
    <t>DIXON JANETTE</t>
  </si>
  <si>
    <t>DIXTECH INNOVATION PTE LTD</t>
  </si>
  <si>
    <t>DOTTER INTELLECTUAL PTE LTD</t>
  </si>
  <si>
    <t>DSO NAT LABORATORIES</t>
  </si>
  <si>
    <t>ECOSPEC NOVELTECH PTE LTD</t>
  </si>
  <si>
    <t>ELID TECH INT PTE LTD</t>
  </si>
  <si>
    <t>EMAGE AI PTE LTD</t>
  </si>
  <si>
    <t>EMAGE AL PTE LTD</t>
  </si>
  <si>
    <t>ENLEOFEN BIO PTD LTD</t>
  </si>
  <si>
    <t>EZAL CONSUMER HEALTHCARE</t>
  </si>
  <si>
    <t>FLOATING KNIGHT BIOTECH PTE LTD</t>
  </si>
  <si>
    <t>GENEJUNCTION PTE LTD</t>
  </si>
  <si>
    <t>GLENN JR ROBERT WAYNE</t>
  </si>
  <si>
    <t>GMO GLOBALSIGN PTE LTD</t>
  </si>
  <si>
    <t>GOH SOO SIAH</t>
  </si>
  <si>
    <t>GOI LAI HUAT</t>
  </si>
  <si>
    <t>GREENWAVE SYSTEMS PTE LTD</t>
  </si>
  <si>
    <t>GSHIELD ASIA PTE LTD</t>
  </si>
  <si>
    <t>Gokh Su Siakh</t>
  </si>
  <si>
    <t>HCP HEALTHCARE ASIA PTE</t>
  </si>
  <si>
    <t>HDR SG PTE LTD</t>
  </si>
  <si>
    <t>HENDRICKS CORP PTE LTD</t>
  </si>
  <si>
    <t>HONG SEN</t>
  </si>
  <si>
    <t>HOOW FOODS PTE LTD</t>
  </si>
  <si>
    <t>HUAWEI INTERNAT PTE LTD</t>
  </si>
  <si>
    <t>HYPHENS PHARMA PTE LTD</t>
  </si>
  <si>
    <t>ILLINOIS AT SINGAPORE PTE LTD</t>
  </si>
  <si>
    <t>INST OF TECHNICAL EDUCATION</t>
  </si>
  <si>
    <t>INTERVAAL PTE LTD</t>
  </si>
  <si>
    <t>IOLERA HOLDINGS PTE LTD</t>
  </si>
  <si>
    <t>ISKY RES PTE LTD</t>
  </si>
  <si>
    <t>JAIN ANCHAL</t>
  </si>
  <si>
    <t>JEWEL PAYMENTECH PTE LTD</t>
  </si>
  <si>
    <t>JMEDTECH COATING TECH PTE LTD</t>
  </si>
  <si>
    <t>JMEDTECH PTE LTD</t>
  </si>
  <si>
    <t>JOHANNES CHARLES W</t>
  </si>
  <si>
    <t>JYSK SKIN SOLUTIONS PTE LTD</t>
  </si>
  <si>
    <t>KALTIMEX MOBIOL SINGAPORE PTE LTD</t>
  </si>
  <si>
    <t>KANNAN SRINIVASARAGHAVAN</t>
  </si>
  <si>
    <t>KATADA HITOSHI</t>
  </si>
  <si>
    <t>KOFFEEFRUIT PTE LTD</t>
  </si>
  <si>
    <t>KONDREDDI RAVINDER REDDY</t>
  </si>
  <si>
    <t>KWOK FRANCIS</t>
  </si>
  <si>
    <t>KYAN THERAPEUTICS</t>
  </si>
  <si>
    <t>LAN LAN</t>
  </si>
  <si>
    <t>LEE FREDDIE ENG HWEE</t>
  </si>
  <si>
    <t>LENOVO SINGAPORE PET LTD</t>
  </si>
  <si>
    <t>LENOVO SINGAPORE PTE LTD NEW TECH PARK</t>
  </si>
  <si>
    <t>LEOW WEE DAR</t>
  </si>
  <si>
    <t>LERNA BIOPHARMA PTE LTD</t>
  </si>
  <si>
    <t>LI XI</t>
  </si>
  <si>
    <t>LIM KIM HWA</t>
  </si>
  <si>
    <t>LOTUS INT PTE LTD</t>
  </si>
  <si>
    <t>LUCENCE DIAGNOSTICS PTE LTD</t>
  </si>
  <si>
    <t>LUMILEDS SINGAPORE PTE LTD</t>
  </si>
  <si>
    <t>LUU PERCY</t>
  </si>
  <si>
    <t>M LEAGUE PTE LTD</t>
  </si>
  <si>
    <t>MACROGEN ASIA PACIFIC PTE LTD</t>
  </si>
  <si>
    <t>MANLI INT LTD</t>
  </si>
  <si>
    <t>MARITIME AND PORT AUTHORITY OF SINGAPORE</t>
  </si>
  <si>
    <t>MASTERCARD INTERNATIONAL INC</t>
  </si>
  <si>
    <t>MASTERCARD LABS KENYA HOLDINGS PTE LTD</t>
  </si>
  <si>
    <t>MB TECH PARTNERS LTD</t>
  </si>
  <si>
    <t>MEDEZE TREASURY PTD LTD</t>
  </si>
  <si>
    <t>MEDIOS TECH PTE LTD</t>
  </si>
  <si>
    <t>MEDIPURPOSE PTE LTD</t>
  </si>
  <si>
    <t>MEDLINX ACACIA PTE LTD</t>
  </si>
  <si>
    <t>MEDLYVES PTE LTD</t>
  </si>
  <si>
    <t>MEDULLA PRO TECH PTE LTD</t>
  </si>
  <si>
    <t>MERLIN MD PTE LTD</t>
  </si>
  <si>
    <t>MERLION PHARMACEUTICALS PTE LTD</t>
  </si>
  <si>
    <t>MICROMERTICS TECH PTE LTD</t>
  </si>
  <si>
    <t>MICROMETRICS TECH PTE LTD</t>
  </si>
  <si>
    <t>MOOVITA PTE LTD</t>
  </si>
  <si>
    <t>MPICS INNOVATIONS PTE LTD</t>
  </si>
  <si>
    <t>MSD INT GMBH</t>
  </si>
  <si>
    <t>MSD INT GMBH SINGAPORE BRANCH</t>
  </si>
  <si>
    <t>MSM HOLDINGS PTE</t>
  </si>
  <si>
    <t>MUNDRU ASHOK BABU</t>
  </si>
  <si>
    <t>MVGX TECH PTE LTD</t>
  </si>
  <si>
    <t>Matralix Pte Ltd</t>
  </si>
  <si>
    <t>MediSix Therapeutics Pte Ltd</t>
  </si>
  <si>
    <t>N&amp;E INNOVATIONS PTE LTD</t>
  </si>
  <si>
    <t>NANYANG HERBS PTE LTD</t>
  </si>
  <si>
    <t>NAT UNIV HOSPITAL</t>
  </si>
  <si>
    <t>NAT UNIVERSITY HOSPITAL</t>
  </si>
  <si>
    <t>NATIONAL UNIV HOSPITAL</t>
  </si>
  <si>
    <t>NATIONAL UNIV OF SINGAPORE [SG/SG]</t>
  </si>
  <si>
    <t>NEONEXUS PTE LTD</t>
  </si>
  <si>
    <t>NEURO CODE HOLDINGS PTE LTD</t>
  </si>
  <si>
    <t>NG TZE KIAT</t>
  </si>
  <si>
    <t>NICE SURGICAL SOLUTIONS PTE LTD</t>
  </si>
  <si>
    <t>NISSHINBO SINGAPORE PTE LTD</t>
  </si>
  <si>
    <t>NOMADD DESERT SOLAR SOLUTIONS PTE LTD</t>
  </si>
  <si>
    <t>NUCLEUS DYNAMICS PTE LTD</t>
  </si>
  <si>
    <t>ONE BIOMED PTE LTD</t>
  </si>
  <si>
    <t>ONG TZE GUAN</t>
  </si>
  <si>
    <t>ORCHID MEDICAL PTE LTD</t>
  </si>
  <si>
    <t>PARTIOR PTE LTD</t>
  </si>
  <si>
    <t>PARTRIDGE ANTHONY W</t>
  </si>
  <si>
    <t>PENSEES PTE LTD</t>
  </si>
  <si>
    <t>PI XCELS PTE LTD</t>
  </si>
  <si>
    <t>PIVIPI LABS PTE LTD</t>
  </si>
  <si>
    <t>PLANO PTE LTD</t>
  </si>
  <si>
    <t>PLENAMED PTE LTD</t>
  </si>
  <si>
    <t>POLYWIN PTE LTD</t>
  </si>
  <si>
    <t>POULADI MAHMOUD ABDULHOSSEIN</t>
  </si>
  <si>
    <t>Protasov Stanislav</t>
  </si>
  <si>
    <t>QUANTIFIED ENERGY LABS PTE LTD</t>
  </si>
  <si>
    <t>QUANTUMCIEL PTE LTD</t>
  </si>
  <si>
    <t>RAKUTEN ASIA PTE LTD</t>
  </si>
  <si>
    <t>RAPPEL JAMES KOLENCHERY</t>
  </si>
  <si>
    <t>RAY Satrajit</t>
  </si>
  <si>
    <t>RED HORSE HOLDINGS PTE LTD</t>
  </si>
  <si>
    <t>RG HEALTHCARE PTE LTD</t>
  </si>
  <si>
    <t>RG INNOVATIONS PTE LTD</t>
  </si>
  <si>
    <t>RG SMART PTE LTD</t>
  </si>
  <si>
    <t>ROOT KING PTE LTD</t>
  </si>
  <si>
    <t>ROSS DIGITAL PTE LTD</t>
  </si>
  <si>
    <t>S ANCIAL PTE LTD</t>
  </si>
  <si>
    <t>SABIC SK NEXLENE COMPANY PTE LTD</t>
  </si>
  <si>
    <t>SCAIFE MARTIN</t>
  </si>
  <si>
    <t>SCICLONE PHARMACEUTICALS INT SG PTE LTD</t>
  </si>
  <si>
    <t>SEMICONDUCTOR TECH &amp; INSTRUMENTS PTE LTD</t>
  </si>
  <si>
    <t>SERV MEDICAL PTE LTD</t>
  </si>
  <si>
    <t>SHOPEE IP SINGAPORE PRIVATE LTD</t>
  </si>
  <si>
    <t>SILEZIA GROUP PTE LTD</t>
  </si>
  <si>
    <t>SILOT PTE LTD</t>
  </si>
  <si>
    <t>SINGAPORE MAN UNIVERSITY</t>
  </si>
  <si>
    <t>SINGAPORE POLYTECHNIC</t>
  </si>
  <si>
    <t>SMARTCLEAN TECH PTE LTD</t>
  </si>
  <si>
    <t>SMARTCLEAN TECHNOLOGIES PTE LTD</t>
  </si>
  <si>
    <t>SMUDG COMPANY PTE LTD</t>
  </si>
  <si>
    <t>SOFT SENSE LIFE TECH PTE LTD</t>
  </si>
  <si>
    <t>SOPHIE’S BIONUTRIENTS PTE LTD</t>
  </si>
  <si>
    <t>SPACE PTE LTD</t>
  </si>
  <si>
    <t>SPORTSCIENTIA PTE LTD</t>
  </si>
  <si>
    <t>ST ENG IHQ PTE LTD</t>
  </si>
  <si>
    <t>STOPIC RICHARD</t>
  </si>
  <si>
    <t>STROGOV VLADIMIR</t>
  </si>
  <si>
    <t>SUNIA PTE LTD SINGAPORE</t>
  </si>
  <si>
    <t>SUNIAPTE LTD</t>
  </si>
  <si>
    <t>SYNOPTION PTE LTD</t>
  </si>
  <si>
    <t>TAN JAMES</t>
  </si>
  <si>
    <t>TAN PUAY HOON</t>
  </si>
  <si>
    <t>TEAMSOLVE PTE LTD</t>
  </si>
  <si>
    <t>TECHNOLITE SINGAPORE PTE LTD</t>
  </si>
  <si>
    <t>TEH BIN TEAN</t>
  </si>
  <si>
    <t>TENDONPLUS MEDICAL PTE LTD</t>
  </si>
  <si>
    <t>THINXTREAM TECH PTE LTD</t>
  </si>
  <si>
    <t>TOUREGO GLOBAL PTE LTD</t>
  </si>
  <si>
    <t>TRAKOMATIC PTE LTD</t>
  </si>
  <si>
    <t>TRANSF ROBOTICS PTE LTD</t>
  </si>
  <si>
    <t>TSLC PTE LTD</t>
  </si>
  <si>
    <t>TURTLETREE LABS PTE LTD</t>
  </si>
  <si>
    <t>TYCHAN PTE LTD</t>
  </si>
  <si>
    <t>VALLAURIX PTE LTD</t>
  </si>
  <si>
    <t>VASCUROS MEDICAL PTE LTD</t>
  </si>
  <si>
    <t>VENKATESAN DAYA</t>
  </si>
  <si>
    <t>VERENCY HOLDINGS LTD</t>
  </si>
  <si>
    <t>VERMA CHANDRA S</t>
  </si>
  <si>
    <t>VERTICAL SOFTWARE ASIA PTE LTD</t>
  </si>
  <si>
    <t>VISCOVERY PTE LTD</t>
  </si>
  <si>
    <t>VUCLIP SINGAPORE PTE LTD</t>
  </si>
  <si>
    <t>WAFE LIFE SCIENCES LTD</t>
  </si>
  <si>
    <t>WANG WENSHENG</t>
  </si>
  <si>
    <t>WAVE LIFE SCIENCES PTE LTD</t>
  </si>
  <si>
    <t>WEALTHTREESG PRIVATE LTD</t>
  </si>
  <si>
    <t>WIGHT RONALD CRAIG</t>
  </si>
  <si>
    <t>WONG FONG ENGINEERING WORKS 1988 PTE LTD</t>
  </si>
  <si>
    <t>Wearne Digital Pte Ltd</t>
  </si>
  <si>
    <t>X ZELL BIOTECH PTE LTD</t>
  </si>
  <si>
    <t>XERAFY SINGAPORE PTE LTD</t>
  </si>
  <si>
    <t>YUEN TSZ YING</t>
  </si>
  <si>
    <t>ZHENG QILIN</t>
  </si>
  <si>
    <t>ZingMobile Pte Ltd</t>
  </si>
  <si>
    <t>365 TECH HOLDING LIMITED</t>
  </si>
  <si>
    <t>365 TECH HOLDING LTD</t>
  </si>
  <si>
    <t>365 TECHNOLOGIES HOLDING LTD</t>
  </si>
  <si>
    <t>5GEN CARE LTD</t>
  </si>
  <si>
    <t>6J BIOTECHNOLOGY LTD</t>
  </si>
  <si>
    <t>A &amp; B HK COMPANY LTD</t>
  </si>
  <si>
    <t>ABREU RAUL</t>
  </si>
  <si>
    <t>ACHIEVER TECH LTD</t>
  </si>
  <si>
    <t>ACOUSTIC ARC INTERNATIONAL LTD</t>
  </si>
  <si>
    <t>ACSYS HOLDINGS LTD</t>
  </si>
  <si>
    <t>ACTIVWELL LTD</t>
  </si>
  <si>
    <t>ACTYWELL DIGITAL LTD</t>
  </si>
  <si>
    <t>ADVANCE ELECTRONIC AND MEDICAL IND COMPANY LTD</t>
  </si>
  <si>
    <t>ADVANCE ELECTRONIC AND MEDICAL INDUSTRIES COMPANY LTD</t>
  </si>
  <si>
    <t>ADVANTEK SERUM LABORATORIES LTD</t>
  </si>
  <si>
    <t>AENCO TECH LIMITED</t>
  </si>
  <si>
    <t>AENEAS TECH LIMITED</t>
  </si>
  <si>
    <t>AGILIS ROBOTICS LTD</t>
  </si>
  <si>
    <t>AGILITECH LTD</t>
  </si>
  <si>
    <t>AI GUIDED LTD</t>
  </si>
  <si>
    <t>AI MNEMONIC LTD</t>
  </si>
  <si>
    <t>AIRPORT AUTHORITY</t>
  </si>
  <si>
    <t>ALEBUND PHARMACEUTICALS HONG KONG LTD</t>
  </si>
  <si>
    <t>ALEPHOSON BIOPHARMACEUTICALS LTD</t>
  </si>
  <si>
    <t>ALPHA AI TECH LIMITED</t>
  </si>
  <si>
    <t>ALPHATECH INTERNATIONAL LTD</t>
  </si>
  <si>
    <t>AMVAC HONG KONG LTD</t>
  </si>
  <si>
    <t>ANTS TECH (HK) LIMITED</t>
  </si>
  <si>
    <t>AOK TOOLING LTD</t>
  </si>
  <si>
    <t>AP INFOSENSE LTD</t>
  </si>
  <si>
    <t>APPICINE THERAPEUTICS HK LTD</t>
  </si>
  <si>
    <t>APPLIED ADVANCED TECHNOLOGIES LTD</t>
  </si>
  <si>
    <t>APTORUM THERAPEUTICS LTD</t>
  </si>
  <si>
    <t>AQUAMED LTD</t>
  </si>
  <si>
    <t>ARCTIC OCEAN TINORE TRADE CO LTD</t>
  </si>
  <si>
    <t>ASIA BASE TECH LIMITED</t>
  </si>
  <si>
    <t>ASIA PACIFIC MEDICAL TECH DEVELOPMENT COMPAN Y LTD</t>
  </si>
  <si>
    <t>ASIABASE TECH LIMITED</t>
  </si>
  <si>
    <t>ASIABASE TECH LTD</t>
  </si>
  <si>
    <t>ASIABASE TECHNOLOGIES LTD</t>
  </si>
  <si>
    <t>ASIAN PRIME SOURCES LTD</t>
  </si>
  <si>
    <t>ASTEE INTERNATIONAL LTD</t>
  </si>
  <si>
    <t>AT&amp;T Global Network Services Hong Kong LTD</t>
  </si>
  <si>
    <t>AUISET BIOTECHNOLOGY COMPANY LTD</t>
  </si>
  <si>
    <t>AUKI MATTERLESS LTD</t>
  </si>
  <si>
    <t>AURORA INTERNATIONAL LTD</t>
  </si>
  <si>
    <t>AUTHPAPER LTD</t>
  </si>
  <si>
    <t>AUTOMATED MACHINE LEARNING LTD</t>
  </si>
  <si>
    <t>AUXILIA LTD</t>
  </si>
  <si>
    <t>AVALON BIOLOGICS LTD</t>
  </si>
  <si>
    <t>AVALON BIOMEDICAL (MANAGEMENT) LTD</t>
  </si>
  <si>
    <t>AVALON BONE SUPPLEMENT HK LTD</t>
  </si>
  <si>
    <t>AVALON NANOSILVER RX HK LTD</t>
  </si>
  <si>
    <t>AVALON PHOTONICS HK LTD</t>
  </si>
  <si>
    <t>AVALON PHOTONICS HK LTD APL</t>
  </si>
  <si>
    <t>AVALON POLYTOM HK LTD</t>
  </si>
  <si>
    <t>AVALON SPINECARE HK LTD</t>
  </si>
  <si>
    <t>AZURE GAMING HONG KONG LTD</t>
  </si>
  <si>
    <t>BAI YAHUI</t>
  </si>
  <si>
    <t>BANDBERRY LTD</t>
  </si>
  <si>
    <t>BBPOS LMITED</t>
  </si>
  <si>
    <t>BEACON MEDCARE HK LTD</t>
  </si>
  <si>
    <t>BECKETT WAYNE HUGHES</t>
  </si>
  <si>
    <t>BELITE BIO HK LTD</t>
  </si>
  <si>
    <t>BELUM TECH IP COMPANY LIMITED</t>
  </si>
  <si>
    <t>BELUN TECH COMPANY LIMITED</t>
  </si>
  <si>
    <t>BESTOP GROUP HOLDINGS LTD</t>
  </si>
  <si>
    <t>BETAGEN SCIENT LIMITED</t>
  </si>
  <si>
    <t>BINATONE ELECTRONICS INTERNATIONAL LTD</t>
  </si>
  <si>
    <t>BING BIOTECH LTD</t>
  </si>
  <si>
    <t>BIO CANCER TREATMENT INT LTD</t>
  </si>
  <si>
    <t>BIO MEDICAL ENG HK LTD</t>
  </si>
  <si>
    <t>BIO-CANCER TREAT INT LTD</t>
  </si>
  <si>
    <t>BIO-CANCER TREAT INTERNATIONAL LIMITED</t>
  </si>
  <si>
    <t>BIOGTS GREEN ENERGY COMPANY LTD</t>
  </si>
  <si>
    <t>BIOLUX RES HOLDINGS INC</t>
  </si>
  <si>
    <t>BIRDIE BIOPHARMACEUTICALS INC</t>
  </si>
  <si>
    <t>BLACK JACK TECH CO LIMITED</t>
  </si>
  <si>
    <t>BLOCKPASS IDN LTD</t>
  </si>
  <si>
    <t>BLUE MEDICAL INNOVATION LTD</t>
  </si>
  <si>
    <t>BLUE UMBRELLA LTD</t>
  </si>
  <si>
    <t>BOSANY ENV LTD</t>
  </si>
  <si>
    <t>BRASS RING INTERNATIONAL DENSITY ENTERPRISE LTD</t>
  </si>
  <si>
    <t>BRIDEA IP LTD</t>
  </si>
  <si>
    <t>BRIGHT KINGDOM GLOBAL SOURCING LTD</t>
  </si>
  <si>
    <t>BUCKYOL LTD</t>
  </si>
  <si>
    <t>C MER RAINSOPTICS LTD</t>
  </si>
  <si>
    <t>C2 SYSTEMS LTD</t>
  </si>
  <si>
    <t>CAFE X TECH LTD</t>
  </si>
  <si>
    <t>CAMERON MARK STEVEN</t>
  </si>
  <si>
    <t>CANADIAN CHIROPRACTIC CENTRE LTD</t>
  </si>
  <si>
    <t>CANDACE GUIDANCE SIGNAGE LTD</t>
  </si>
  <si>
    <t>CARE AUTOMATION HOLDINGS LTD</t>
  </si>
  <si>
    <t>CASETAGRAM LTD</t>
  </si>
  <si>
    <t>CASTARALO LTD</t>
  </si>
  <si>
    <t>CENTER FOR REGENERATIVE MEDICINE AND HONG KONG HEALTH HONG KONG INST OF SCIENCE &amp; INNOVATION</t>
  </si>
  <si>
    <t>CENTRE FOR REGENERATIVE MEDICINE AND HEALTH HONG KONG INSTITUTE OF SCIENCE &amp; INNOVATION CHINESE ACAD</t>
  </si>
  <si>
    <t>CENTRE FOR REGENERATIVE MEDICINE AND HEALTH HONG KONG INSTITUTE OF SCIENCE AND INNOVATION</t>
  </si>
  <si>
    <t>CENTURY INT ENTPR LTD</t>
  </si>
  <si>
    <t>CENTURY INTERNATIONAL ENTERPRISES LTD</t>
  </si>
  <si>
    <t>CHAN ANDY TSZ KWAN</t>
  </si>
  <si>
    <t>CHAN CHARLES LAP SAN</t>
  </si>
  <si>
    <t>CHAN KA YAN</t>
  </si>
  <si>
    <t>CHAN KELVIN KA FAI</t>
  </si>
  <si>
    <t>CHAN KIN KWAN</t>
  </si>
  <si>
    <t>CHAN RUSSELL WADE</t>
  </si>
  <si>
    <t>CHAN SIU KING</t>
  </si>
  <si>
    <t>CHAN TAT WAI</t>
  </si>
  <si>
    <t>CHAN VICTOR</t>
  </si>
  <si>
    <t>CHAU TSZ HIM</t>
  </si>
  <si>
    <t>CHE CHI MING</t>
  </si>
  <si>
    <t>CHEN SIJIE</t>
  </si>
  <si>
    <t>CHEN ZHIBO</t>
  </si>
  <si>
    <t>CHENG CHUEN LUNG</t>
  </si>
  <si>
    <t>CHENG SIU HANG</t>
  </si>
  <si>
    <t>CHEUNG HORACE ESMOND</t>
  </si>
  <si>
    <t>CHEUNG NG TAI</t>
  </si>
  <si>
    <t>CHHATLANI SUJIT I</t>
  </si>
  <si>
    <t>CHI HIM WONG</t>
  </si>
  <si>
    <t>CHI X ASIA PACIFIC HOLDINGS LTD</t>
  </si>
  <si>
    <t>CHIN JING WEI</t>
  </si>
  <si>
    <t>CHIN YAU TANG</t>
  </si>
  <si>
    <t>CHINESE UNIV OF HONG KONG</t>
  </si>
  <si>
    <t>CHIU HUNG HUNG</t>
  </si>
  <si>
    <t>CHOI LUNG WAI</t>
  </si>
  <si>
    <t>CHOI PUI WAH</t>
  </si>
  <si>
    <t>CHOW CHUN TO</t>
  </si>
  <si>
    <t>CHOW FUNG LING MS</t>
  </si>
  <si>
    <t>CHOW TAI FOOK JEWELLERY CO LTD</t>
  </si>
  <si>
    <t>CHU CHEN YING PAULINA</t>
  </si>
  <si>
    <t>CHUI SIU HONG</t>
  </si>
  <si>
    <t>CHUN KWOK TUNG</t>
  </si>
  <si>
    <t>CHUN WO CONSTRUCTION &amp; ENGINEERING CO LTD</t>
  </si>
  <si>
    <t>CHUN YAN ENOCH SIT</t>
  </si>
  <si>
    <t>CHUNG YUK WAN</t>
  </si>
  <si>
    <t>CIRQ TECH LIMITED</t>
  </si>
  <si>
    <t>CITY UNIV OF HONG KONG</t>
  </si>
  <si>
    <t>CITY UNIV OF IIONG KONG</t>
  </si>
  <si>
    <t>CLAVES LIFE SCIENCES LTD</t>
  </si>
  <si>
    <t>CLEAR ROBOTICS LTD</t>
  </si>
  <si>
    <t>CLEARONE COMMUNICATIONS HONG KONG LTD</t>
  </si>
  <si>
    <t>CLEVER MOTION TECH LIMITED</t>
  </si>
  <si>
    <t>CLEVER MOTION TECH LTD</t>
  </si>
  <si>
    <t>CM HK LTD</t>
  </si>
  <si>
    <t>COHERENT BIOPHARMA I LTD</t>
  </si>
  <si>
    <t>COLLATR LTD</t>
  </si>
  <si>
    <t>COMEPA INDUSTRIES LTD</t>
  </si>
  <si>
    <t>COMPASS TECH COMPANY LIMITED</t>
  </si>
  <si>
    <t>COMPASS TECH COMPANY LTD</t>
  </si>
  <si>
    <t>CONNECT BIOPHARMA HONG KONG LTD</t>
  </si>
  <si>
    <t>CONSTANCE LEUNG KI HIN</t>
  </si>
  <si>
    <t>CONSUMABLES MEDICAL PACIFIC IND LTD</t>
  </si>
  <si>
    <t>CONTRENDIAN LTD</t>
  </si>
  <si>
    <t>CONVOCATION CO LTD</t>
  </si>
  <si>
    <t>COOLING ELECTRONICS CO LTD</t>
  </si>
  <si>
    <t>COVERGO LTD</t>
  </si>
  <si>
    <t>CPMASTERPIECE CO LTD</t>
  </si>
  <si>
    <t>CREATION PLUS BIOTECHNOLOGY CO LTD</t>
  </si>
  <si>
    <t>CRIMSON TAG LTD</t>
  </si>
  <si>
    <t>CRYOELECTRIC SCIENCE LTD</t>
  </si>
  <si>
    <t>CSC ROBOTIC ENGINEERING LTD</t>
  </si>
  <si>
    <t>CYRCADIA ASIA LTD</t>
  </si>
  <si>
    <t>D2V LTD</t>
  </si>
  <si>
    <t>DAXCHAIN LTD</t>
  </si>
  <si>
    <t>DCIC BIOPHARMACEUTICAL LTD</t>
  </si>
  <si>
    <t>DECODE CURE LTD</t>
  </si>
  <si>
    <t>DEEP LONGEVITY LTD</t>
  </si>
  <si>
    <t>DEEP TRANSLATE LTD</t>
  </si>
  <si>
    <t>DEFOND COMPONENTS LTD</t>
  </si>
  <si>
    <t>DENG CHUNLIAN</t>
  </si>
  <si>
    <t>DERMACLIP HONGKONG LTD</t>
  </si>
  <si>
    <t>DIGITAL DOMAIN ENTERPRISES GROUP LTD</t>
  </si>
  <si>
    <t>DIGITAL TOOLS COMPANY LTD</t>
  </si>
  <si>
    <t>DIGITAL TRANSACTION LTD</t>
  </si>
  <si>
    <t>DIS DEVELOPMENT LTD</t>
  </si>
  <si>
    <t>DOLA TECH LIMITED</t>
  </si>
  <si>
    <t>DOLSMA JOHAN MATTHIJS</t>
  </si>
  <si>
    <t>DRAGON VICTORY DEV LTD</t>
  </si>
  <si>
    <t>DRD LIFESCIENCES GROUP LTD</t>
  </si>
  <si>
    <t>DREAMTEC INTELLECTUAL PROPERTY LTD</t>
  </si>
  <si>
    <t>DYNAMIC CENTURY HOLDINGS LTD</t>
  </si>
  <si>
    <t>EAST PACIFIC IND LTD</t>
  </si>
  <si>
    <t>EASTERN VISION LTD</t>
  </si>
  <si>
    <t>EBATTE HOLDINGS LTD</t>
  </si>
  <si>
    <t>EDANZ GROUP LTD</t>
  </si>
  <si>
    <t>ELECTRICAL AND MECH SERVICES DEPARTMENT THE GOVERNMENT OF HONG KONG SPECIAL ADMINISTRATIVE RE</t>
  </si>
  <si>
    <t>ELECTRICAL AND MECH SERVICES DEPARTMENT THE GOVERNMENT OF THE HONG KONG SPECIAL ADMINISTRATIV</t>
  </si>
  <si>
    <t>ELIXIRON IMMUNOTHERAPEUTICS HONG KONG LTD HK</t>
  </si>
  <si>
    <t>EMERGING VIRAL DIAGNOSTICS HK LTD</t>
  </si>
  <si>
    <t>EMERGING VIRAL DIAGNOSTICS LTD</t>
  </si>
  <si>
    <t>EMERGING VIRAL THRAPEUTICS LTD</t>
  </si>
  <si>
    <t>EMV MERS HK LTD</t>
  </si>
  <si>
    <t>ENDOWAYS HONG KONG MEDICAL CO LTD</t>
  </si>
  <si>
    <t>ENZYNOMICS H K LTD</t>
  </si>
  <si>
    <t>EPIMAD BIOTHERAPEUTICS HK LTD</t>
  </si>
  <si>
    <t>EPONA BIOTEC LTD</t>
  </si>
  <si>
    <t>ESCAPEX LTD</t>
  </si>
  <si>
    <t>EUBULUS BIOTHERAPEUTICS HONG KONG LTD</t>
  </si>
  <si>
    <t>EV71 HK LTD</t>
  </si>
  <si>
    <t>EVERSUS INTERNATIONAL LTD</t>
  </si>
  <si>
    <t>EVISION TECH LIMITED</t>
  </si>
  <si>
    <t>EWIG INDUSTRIES MACAO COMMERCIAL OFFSHORE LTD</t>
  </si>
  <si>
    <t>EXPERT AI ENABLING LTD</t>
  </si>
  <si>
    <t>EXPLORUS SURGICAL LTD</t>
  </si>
  <si>
    <t>EXRHERA LTD</t>
  </si>
  <si>
    <t>FARM LOCALLY LTD</t>
  </si>
  <si>
    <t>FIND SOLUTION ARTIFICIAL INTELLIGENCE LTD</t>
  </si>
  <si>
    <t>FIRST GAIN INT LTD</t>
  </si>
  <si>
    <t>FORSTAR LTD</t>
  </si>
  <si>
    <t>FRESENIUS MEDICAL CARE ASIA PACIFIC LTD</t>
  </si>
  <si>
    <t>FRESH IDEA GLOBAL LTD</t>
  </si>
  <si>
    <t>FRESH ON LTD</t>
  </si>
  <si>
    <t>FRUIT INNOVATIONS LTD</t>
  </si>
  <si>
    <t>FULLFAITH INTERNATIONAL HOLDING LTD</t>
  </si>
  <si>
    <t>FUND ROOTS SOFTWARE CREATIVE LTD</t>
  </si>
  <si>
    <t>FUNG CHUCK</t>
  </si>
  <si>
    <t>FUSE BIOSCIENCES HONG KONG LTD</t>
  </si>
  <si>
    <t>FUTURE OF PLAY GLOBAL LTD</t>
  </si>
  <si>
    <t>GA HEALTH &amp; BEAUTY CO LTD</t>
  </si>
  <si>
    <t>GALILEO PLATFORMS LTD</t>
  </si>
  <si>
    <t>GAMOLIN LTD</t>
  </si>
  <si>
    <t>GEB IMPACT TECH COMPANY LIMITED</t>
  </si>
  <si>
    <t>GENIELAND COMPANY LTD</t>
  </si>
  <si>
    <t>GENUINE FIRST AID INT LTD</t>
  </si>
  <si>
    <t>GERMANY HEALMUSZ INTERNATIONAL CO LTD</t>
  </si>
  <si>
    <t>GLOBAL COSMETICS HONG KONG COMPANY LTD</t>
  </si>
  <si>
    <t>GLOBAL DESIGN CORP LTD</t>
  </si>
  <si>
    <t>GLOBAL TAX REFUND HOLDINGS COMPANY LTD</t>
  </si>
  <si>
    <t>GMP BIOTECHNOLOGY LTD</t>
  </si>
  <si>
    <t>GOLDBOX TECH LTD</t>
  </si>
  <si>
    <t>GOOEE LTD</t>
  </si>
  <si>
    <t>GOORIS FREDERIC</t>
  </si>
  <si>
    <t>GOVITA TECH LTD</t>
  </si>
  <si>
    <t>GRACE AND KOWLOON HOLDINGS LTD</t>
  </si>
  <si>
    <t>GRACE UNION TECH LIMITED</t>
  </si>
  <si>
    <t>GREEN GARDEN TOYS HONG KONG CO LTD</t>
  </si>
  <si>
    <t>GROKING LAB LTD</t>
  </si>
  <si>
    <t>GT APEIRON THERAPEUTICS LTD</t>
  </si>
  <si>
    <t>GUAN ISAAC</t>
  </si>
  <si>
    <t>GURU NETWORK LTD</t>
  </si>
  <si>
    <t>HAI KANG LIFE CORP LTD</t>
  </si>
  <si>
    <t>HAI KANG LIFE CORPORATION LTD</t>
  </si>
  <si>
    <t>HANSON DAVID</t>
  </si>
  <si>
    <t>HANSON ROBOTICS LTD</t>
  </si>
  <si>
    <t>HARRIA INVEST GROUP INC</t>
  </si>
  <si>
    <t>HAYCO MANFACTURING LTD</t>
  </si>
  <si>
    <t>HAYCO MFG LIMITED</t>
  </si>
  <si>
    <t>HAYCO MFG LTD</t>
  </si>
  <si>
    <t>HCT GROUP HOLDINGS LTD</t>
  </si>
  <si>
    <t>HEARSAFE LTD</t>
  </si>
  <si>
    <t>HEROKA IND LTD</t>
  </si>
  <si>
    <t>HESTIA TECH LIMITED</t>
  </si>
  <si>
    <t>HIGH DEVELOPMENT LTD</t>
  </si>
  <si>
    <t>HIGHWAYS DEPT THE GOVERNMENT OF THE HONG KONG SPECIAL ADMINISTRATIVE REGION OF THE PEOPLES</t>
  </si>
  <si>
    <t>HIGHWAYS DEPT THE GOVERNMENT OF THE HONG KONG SPECIAL ADMINISTRATIVE REGION OF THE PEOPLES REPUBLIC</t>
  </si>
  <si>
    <t>HIGHWAYS DEPT THE GOVERNMENT OF THE HONG KONG SPECIAL ADMINISTRATVIE REGION OF THE PEOPLES REPUBLIC</t>
  </si>
  <si>
    <t>HILLMING COMPANY LTD</t>
  </si>
  <si>
    <t>HK LIGHT FERRY BIOMED LTD</t>
  </si>
  <si>
    <t>HK LIJUN TECH LIMITED</t>
  </si>
  <si>
    <t>HO DAVID SAI WAH</t>
  </si>
  <si>
    <t>HO SZE KIT</t>
  </si>
  <si>
    <t>HOFFMANN ASIA LTD</t>
  </si>
  <si>
    <t>HOI MING MICHAELHO</t>
  </si>
  <si>
    <t>HOMETEK INT LTD</t>
  </si>
  <si>
    <t>HONG KONG ABBY TECH CO LTD</t>
  </si>
  <si>
    <t>HONG KONG FORTUNE TECH LTD</t>
  </si>
  <si>
    <t>HONG KONG GREEN DREAMER TECH LIMITED</t>
  </si>
  <si>
    <t>HONG KONG HAICUN TECH CO LIMITED</t>
  </si>
  <si>
    <t>HONG KONG INTELLECTUAL PROPERTY EXCHANGE LTD</t>
  </si>
  <si>
    <t>HONG KONG KING FRIEND INDUSTRIAL COMPANY LTD</t>
  </si>
  <si>
    <t>HONG KONG LIVEME CORPORATION LTD</t>
  </si>
  <si>
    <t>HONG KONG MORNING STAR INTERNATIONAL HOLDING LTD</t>
  </si>
  <si>
    <t>HONG KONG OCCUPATIONAL THERAPY ASSOCIATION LTD</t>
  </si>
  <si>
    <t>HONG KONG POLYTECHNIC UNIV</t>
  </si>
  <si>
    <t>HONG KONG PRODUCTIVITY COUNCIL HKPC</t>
  </si>
  <si>
    <t>HONG KONG TELECOMMUNICATIONS HKT LTD</t>
  </si>
  <si>
    <t>HONG KONG TELECOMMUNICATIONS HTK LTD</t>
  </si>
  <si>
    <t>HONK KONG POLYTECHNIC UNIV</t>
  </si>
  <si>
    <t>HOPEFUL RUBBER MFG CO LIMITED</t>
  </si>
  <si>
    <t>HSIAO WEN LUAN WENDY</t>
  </si>
  <si>
    <t>HUI HO CHARM</t>
  </si>
  <si>
    <t>HUI KAM WAH</t>
  </si>
  <si>
    <t>HUNG CHIU HUNG</t>
  </si>
  <si>
    <t>HUNG HOI CHUE</t>
  </si>
  <si>
    <t>HUNG HON INDUSTRIAL COMPANY LTD</t>
  </si>
  <si>
    <t>HYGIEIA HEALTH CO LTD</t>
  </si>
  <si>
    <t>Ho Po Yu</t>
  </si>
  <si>
    <t>Hong ying tang</t>
  </si>
  <si>
    <t>I MAB BIOPHARMA HONG KONG LTD</t>
  </si>
  <si>
    <t>ICALC HOLDINGS LTD</t>
  </si>
  <si>
    <t>ID INFINITY LTD</t>
  </si>
  <si>
    <t>IFREE GROUP HK LTD</t>
  </si>
  <si>
    <t>IGGENE LTD</t>
  </si>
  <si>
    <t>IMMORTAL SPIRIT LTD</t>
  </si>
  <si>
    <t>INDHOUSE LTD</t>
  </si>
  <si>
    <t>INFAGEN HONG KONG LTD</t>
  </si>
  <si>
    <t>INFINITY CUBE LTD</t>
  </si>
  <si>
    <t>INFO WISE LTD</t>
  </si>
  <si>
    <t>INFOTOO INTERNATIONAL LTD</t>
  </si>
  <si>
    <t>INNOCORN TECH LIMITED</t>
  </si>
  <si>
    <t>INNONEURO LTD</t>
  </si>
  <si>
    <t>INNOSPIRE TECH LIMITED</t>
  </si>
  <si>
    <t>INNOWORKS PRODUCT CREATION LTD</t>
  </si>
  <si>
    <t>INSPIRAR LTD</t>
  </si>
  <si>
    <t>INT TECH HK CO LTD</t>
  </si>
  <si>
    <t>INTEGRAL CARE TECH LTD</t>
  </si>
  <si>
    <t>INTELLECTUAL PROPERTY WHOLLY OWNED CO LTD</t>
  </si>
  <si>
    <t>INTELLIGENCE &amp; PARTNER LTD</t>
  </si>
  <si>
    <t>INTERACTIVE HOLDINGS LTD</t>
  </si>
  <si>
    <t>INTERNATIONAL ASSOCIATION FOR MEDICAL AND DENTAL RES LIMITED</t>
  </si>
  <si>
    <t>INTERNET INVESTMENTS GROUP LTD</t>
  </si>
  <si>
    <t>INTERSELECT TRADING LTD</t>
  </si>
  <si>
    <t>IPC WORKS LTD</t>
  </si>
  <si>
    <t>IPROPHET TECHNOLOGY LTD</t>
  </si>
  <si>
    <t>IQ WORKS LTD</t>
  </si>
  <si>
    <t>ISUNCLOUD LTD</t>
  </si>
  <si>
    <t>IX ASIA LTD</t>
  </si>
  <si>
    <t>JACOBSON RES LABORATORY LIMITED</t>
  </si>
  <si>
    <t>JACOBSON RES LABORTORY LIMITED</t>
  </si>
  <si>
    <t>JACOBSON T&amp;D LTD</t>
  </si>
  <si>
    <t>JBM RES LABORATORY LIMITED</t>
  </si>
  <si>
    <t>JHA VINESH</t>
  </si>
  <si>
    <t>JINGANG MEDICINE AUSTRALIA PTY LTD</t>
  </si>
  <si>
    <t>JOHNLUI COM</t>
  </si>
  <si>
    <t>JOINT CONCEPT (HONG KONG) LTD</t>
  </si>
  <si>
    <t>JOINT CONCEPT HONG KONG LTD</t>
  </si>
  <si>
    <t>JUMELLE FREDERIC ANDRE</t>
  </si>
  <si>
    <t>KAMI INTELLIGENCE LTD</t>
  </si>
  <si>
    <t>KAR HEY ANTHONY FUNG</t>
  </si>
  <si>
    <t>KEI INTERNATIONAL LTD A CHINESE COMPANY</t>
  </si>
  <si>
    <t>KIKA TECH (HK) HOLDINGS CO LIMITED</t>
  </si>
  <si>
    <t>KIKA TECH HK HOLDINGS CO LIMITED</t>
  </si>
  <si>
    <t>KIN TECH LIMITED</t>
  </si>
  <si>
    <t>KIN WAN LI</t>
  </si>
  <si>
    <t>KINGWELCH LTD</t>
  </si>
  <si>
    <t>KISSCO MARKETING SERVICES LTD</t>
  </si>
  <si>
    <t>KIT HOWARD KWOK</t>
  </si>
  <si>
    <t>KO PAUL YIU SHUM</t>
  </si>
  <si>
    <t>KO WAI KIN DANIEL</t>
  </si>
  <si>
    <t>KOKIDO DEV LTD</t>
  </si>
  <si>
    <t>KOLN 3D TECH MEDICAL LIMITED</t>
  </si>
  <si>
    <t>KOLN HONG KONG LTD</t>
  </si>
  <si>
    <t>KWAN CHI LEUNG</t>
  </si>
  <si>
    <t>KWOK CHING KWONG</t>
  </si>
  <si>
    <t>KWOK NGOK WING JIMMY</t>
  </si>
  <si>
    <t>KWOK SUI YI</t>
  </si>
  <si>
    <t>KWONG Wai Yeung</t>
  </si>
  <si>
    <t>LABORATORY OF DATA DISCOVERY FOR HEALTH LTD</t>
  </si>
  <si>
    <t>LAGUNAMOON BEAUTY LTD</t>
  </si>
  <si>
    <t>LAI HO WA</t>
  </si>
  <si>
    <t>LAI LILY</t>
  </si>
  <si>
    <t>LAM CHUI CHI</t>
  </si>
  <si>
    <t>LAM LOUIS CHI HUNG</t>
  </si>
  <si>
    <t>LAM RONALD CHUN YU</t>
  </si>
  <si>
    <t>LAM SHIU KUM</t>
  </si>
  <si>
    <t>LAM SIU YIN</t>
  </si>
  <si>
    <t>LAM TSZ KUEN</t>
  </si>
  <si>
    <t>LANG SHILEI</t>
  </si>
  <si>
    <t>LAO CHUNG HING</t>
  </si>
  <si>
    <t>LAU ALEX</t>
  </si>
  <si>
    <t>LAU CHUN YIN</t>
  </si>
  <si>
    <t>LAU CHUN YIN MR</t>
  </si>
  <si>
    <t>LAU GARY Q</t>
  </si>
  <si>
    <t>LAU MING HO</t>
  </si>
  <si>
    <t>LAU WING KEUNG</t>
  </si>
  <si>
    <t>LAU WING LOK KEITH</t>
  </si>
  <si>
    <t>LAW SUI CHUN</t>
  </si>
  <si>
    <t>LEE KAM YIN</t>
  </si>
  <si>
    <t>LEE RAYER LAVONNE</t>
  </si>
  <si>
    <t>LEE VINCENT YAU WING</t>
  </si>
  <si>
    <t>LEE WAI HUNG</t>
  </si>
  <si>
    <t>LEE WAI LEUNG</t>
  </si>
  <si>
    <t>LEE YUK KWAI</t>
  </si>
  <si>
    <t>LEONG MUN HOONG</t>
  </si>
  <si>
    <t>LEPER JOHN ANTHONY</t>
  </si>
  <si>
    <t>LEUNG KA WAI WAYNE</t>
  </si>
  <si>
    <t>LEUNG RICHARD</t>
  </si>
  <si>
    <t>LEUNG SO NGOR SALLY</t>
  </si>
  <si>
    <t>LI CHIU SHEUNG</t>
  </si>
  <si>
    <t>LI HUNG TO</t>
  </si>
  <si>
    <t>LI PO YIU PAULINE</t>
  </si>
  <si>
    <t>LI STANLEY YUEN</t>
  </si>
  <si>
    <t>LIAO CHUN ZU JOE</t>
  </si>
  <si>
    <t>LIFE &amp; LIVING INTERNATIONAL LTD</t>
  </si>
  <si>
    <t>LIFENG TECH LIMITED</t>
  </si>
  <si>
    <t>LIFENG TECH LTD</t>
  </si>
  <si>
    <t>LIFESPANS LTD</t>
  </si>
  <si>
    <t>LIFY COMPANY LTD</t>
  </si>
  <si>
    <t>LIHEALTH LTD</t>
  </si>
  <si>
    <t>LIN CHUN MAN ANTHONY</t>
  </si>
  <si>
    <t>LITTLE NOBLEMAN TECH LTD</t>
  </si>
  <si>
    <t>LIU YING</t>
  </si>
  <si>
    <t>LIU YUK KWAN</t>
  </si>
  <si>
    <t>LO HOI CHIU</t>
  </si>
  <si>
    <t>LO KIT YI</t>
  </si>
  <si>
    <t>LO LING LAN</t>
  </si>
  <si>
    <t>LOGISTICS AND SUPPLY CHAIN MULTI TECH R&amp;D CENTRE LTD</t>
  </si>
  <si>
    <t>LOMACK IND CO LTD</t>
  </si>
  <si>
    <t>LONBLE ACUTREK LTD</t>
  </si>
  <si>
    <t>LONGVIEW FINANCIAL LTD</t>
  </si>
  <si>
    <t>Lomak Industrial Company Ltd</t>
  </si>
  <si>
    <t>Lucenxia Ltd</t>
  </si>
  <si>
    <t>M AND M TECH LIMITED</t>
  </si>
  <si>
    <t>M AND M TECH LTD</t>
  </si>
  <si>
    <t>MAICAPITAL LTD</t>
  </si>
  <si>
    <t>MAIN CONTINENTAL TECH LIMITED</t>
  </si>
  <si>
    <t>MAK CHI PONG</t>
  </si>
  <si>
    <t>MAK SIU CHEUNG LOUIE</t>
  </si>
  <si>
    <t>MARCH PROJECTION LTD</t>
  </si>
  <si>
    <t>MARVEL RES LIMITED</t>
  </si>
  <si>
    <t>MAST IND (FAR EAST) LTD</t>
  </si>
  <si>
    <t>MATCHINGPRO LTD</t>
  </si>
  <si>
    <t>MAXINASE LIFE SCIENCES LTD</t>
  </si>
  <si>
    <t>MCCLELLAND DEAN</t>
  </si>
  <si>
    <t>MCGRATH MATTHEW J R</t>
  </si>
  <si>
    <t>MEDAIR LTD</t>
  </si>
  <si>
    <t>MEDICONCEN LTD</t>
  </si>
  <si>
    <t>MEDISEN LTD</t>
  </si>
  <si>
    <t>MEDPOT LTD</t>
  </si>
  <si>
    <t>MEDTIMES MOLECULAR LABORATORY LTD</t>
  </si>
  <si>
    <t>MEGA WINNING LTD</t>
  </si>
  <si>
    <t>MEGASOFT LTD</t>
  </si>
  <si>
    <t>MENRIYAN WIRELESS HIGH POWER TECH (HK) LIMITED</t>
  </si>
  <si>
    <t>MERCURY INNOVATIONS LTD</t>
  </si>
  <si>
    <t>MERIDIAN INNOVATION LTD HONG KONG</t>
  </si>
  <si>
    <t>MICRO RESOURCES LTD</t>
  </si>
  <si>
    <t>MINDFIO LTD</t>
  </si>
  <si>
    <t>MINDS AI TECH LTD</t>
  </si>
  <si>
    <t>MINDS AL TECH LTD</t>
  </si>
  <si>
    <t>MING FAI INNOVATIVE SKIN CARE LAB LTD</t>
  </si>
  <si>
    <t>MIOS PHARMACEUTICALS LTD</t>
  </si>
  <si>
    <t>MOEXA PHARMACEUTICALS LTD</t>
  </si>
  <si>
    <t>MONONUCLEAR THERAPEUTICS LTD</t>
  </si>
  <si>
    <t>MV SQUARE LTD</t>
  </si>
  <si>
    <t>MYOVOLT LTD</t>
  </si>
  <si>
    <t>MediBoston Limted</t>
  </si>
  <si>
    <t>Ming Hon Chan</t>
  </si>
  <si>
    <t>N K S F STAR LTD</t>
  </si>
  <si>
    <t>N K S F STAR LTD NKSF</t>
  </si>
  <si>
    <t>NAL PHARMACEUTICALS GROUP LTD</t>
  </si>
  <si>
    <t>NALANTIS HOLDING LTD</t>
  </si>
  <si>
    <t>NAM SIU TUNG</t>
  </si>
  <si>
    <t>NAN WANG</t>
  </si>
  <si>
    <t>NANO SCIENCES LTD</t>
  </si>
  <si>
    <t>NANTIN ENTERPRISE LTD</t>
  </si>
  <si>
    <t>NATUR TECH PHARMACAL CO LTD</t>
  </si>
  <si>
    <t>NEO DERM GROUP LTD</t>
  </si>
  <si>
    <t>NEO MECH LIMITED</t>
  </si>
  <si>
    <t>NEOMA LTD</t>
  </si>
  <si>
    <t>NERDIO LTD</t>
  </si>
  <si>
    <t>NESTERUK VLADIMIR VIKTOROVICH</t>
  </si>
  <si>
    <t>NEUFAST LTD</t>
  </si>
  <si>
    <t>NEW PORTAL LTD</t>
  </si>
  <si>
    <t>NEXWRITER LTD</t>
  </si>
  <si>
    <t>NG KA LUN</t>
  </si>
  <si>
    <t>NG KA LUN ALAN</t>
  </si>
  <si>
    <t>NG TAT YUNG</t>
  </si>
  <si>
    <t>NG TSZ YAN IRYS</t>
  </si>
  <si>
    <t>NICK WANG TECH LTD</t>
  </si>
  <si>
    <t>NICK WANG TECHNOLOGY LTD</t>
  </si>
  <si>
    <t>NIU YI</t>
  </si>
  <si>
    <t>NKSF STAR LTD</t>
  </si>
  <si>
    <t>NOVETEX TEXTILES LTD</t>
  </si>
  <si>
    <t>NUTRITION SCIENCE PARTNERS LTD</t>
  </si>
  <si>
    <t>NUWA ROBOTICS HK LTD</t>
  </si>
  <si>
    <t>Nang Chong YEUNG</t>
  </si>
  <si>
    <t>O NET WAVETOUCH LTD</t>
  </si>
  <si>
    <t>OLEA OVIDIU</t>
  </si>
  <si>
    <t>ONANOFF LIMITE COMPANY LTD</t>
  </si>
  <si>
    <t>ONANOFF LTD COMPANY</t>
  </si>
  <si>
    <t>ONEDASH LTD</t>
  </si>
  <si>
    <t>ONEPERSONALIZATION LTD</t>
  </si>
  <si>
    <t>ONEQR LTD</t>
  </si>
  <si>
    <t>OOCL INFOTECH HOLDINGS LTD</t>
  </si>
  <si>
    <t>OPENST LTD</t>
  </si>
  <si>
    <t>ORCHESTRALL HEALTHCARE LTD</t>
  </si>
  <si>
    <t>OSPICON COMPANY LTD</t>
  </si>
  <si>
    <t>OUTSTANDING HEALTHCARE COMPANY LTD</t>
  </si>
  <si>
    <t>OVE ARUP &amp; PARTNERS HONG KONG LTD</t>
  </si>
  <si>
    <t>PACIFIC ARROW LTD</t>
  </si>
  <si>
    <t>PANOPTICAI LTD</t>
  </si>
  <si>
    <t>PAPERFLY LTD</t>
  </si>
  <si>
    <t>PEMBERTON BRIAN</t>
  </si>
  <si>
    <t>PENGELLY CO LTD</t>
  </si>
  <si>
    <t>PENTIDE THERAPEUTICS LTD</t>
  </si>
  <si>
    <t>PERDAYS HEALTH FUNCTION FOOD CO LIMITED</t>
  </si>
  <si>
    <t>PERECT VISION TECH HK LTD</t>
  </si>
  <si>
    <t>PETROLEUM 2 0 LTD</t>
  </si>
  <si>
    <t>PHARMACOGENETICS LTD</t>
  </si>
  <si>
    <t>PHARMALINK INTERNATIONAL LTD</t>
  </si>
  <si>
    <t>PHASE SCIENTIFIC INTERNATIONAL LTD</t>
  </si>
  <si>
    <t>PHILLIPS ADAM NIGEL</t>
  </si>
  <si>
    <t>PHOMEDICS LTD</t>
  </si>
  <si>
    <t>PINE MEDICAL LTD</t>
  </si>
  <si>
    <t>PLANTARX LTD</t>
  </si>
  <si>
    <t>PLATYSENS LTD</t>
  </si>
  <si>
    <t>PO YU HO</t>
  </si>
  <si>
    <t>POLAR SEAL LTD</t>
  </si>
  <si>
    <t>POLY TECH SERVICES LTD</t>
  </si>
  <si>
    <t>PONG YUEN HOLDINGS LTD</t>
  </si>
  <si>
    <t>POWA TECHNOLOGIES HONG KONG LTD</t>
  </si>
  <si>
    <t>POWDER PHARMACEUTICALS INCORPORATED</t>
  </si>
  <si>
    <t>POZZATO FRANCESCO</t>
  </si>
  <si>
    <t>PRIME DRAGON LTD</t>
  </si>
  <si>
    <t>PRIMEDTECH LTD</t>
  </si>
  <si>
    <t>PRIVE SERVICES LTD</t>
  </si>
  <si>
    <t>PROCTOR JAMES DAVID</t>
  </si>
  <si>
    <t>PROVENTURE (FAR EAST) LTD</t>
  </si>
  <si>
    <t>PSC COSMETICS LTD</t>
  </si>
  <si>
    <t>PULMONGENE HONG KONG CO LTD</t>
  </si>
  <si>
    <t>PURECELL BIOMEDICAL TECH COMPANY LIMITED</t>
  </si>
  <si>
    <t>PURECODON HONGKONG BIOPHARMA LTD</t>
  </si>
  <si>
    <t>Pui Tong Kwan</t>
  </si>
  <si>
    <t>QALQON LTD</t>
  </si>
  <si>
    <t>QUANTUM CYBERTECH LTD</t>
  </si>
  <si>
    <t>RACEFIT INT COMPANY LTD</t>
  </si>
  <si>
    <t>RACEFIT INTERNATIONAL COMPANY LTD</t>
  </si>
  <si>
    <t>REALITY BIOTECH COMPANY LTD</t>
  </si>
  <si>
    <t>REBERNI LTD</t>
  </si>
  <si>
    <t>REBIO TECH LIMITED</t>
  </si>
  <si>
    <t>RECYCLEGREEN PROJECT LTD</t>
  </si>
  <si>
    <t>REDLOTUS HONG KONG LTD</t>
  </si>
  <si>
    <t>REFLECTION BIOTECHNOLOGIES LTD</t>
  </si>
  <si>
    <t>REGINA MIRACLE INT (GROUP) LTD</t>
  </si>
  <si>
    <t>REGINA MIRACLE INTERNAT GROUP LTD</t>
  </si>
  <si>
    <t>REGINA MIRACLE INTERNATIONAL GROUP LTD</t>
  </si>
  <si>
    <t>REMO HOLDINGS LTD</t>
  </si>
  <si>
    <t>RFID INNOVATION RES LIMITED</t>
  </si>
  <si>
    <t>RING X CORPORATION LTD</t>
  </si>
  <si>
    <t>ROBOTICS CLUB LTD</t>
  </si>
  <si>
    <t>ROEKETBC LTD</t>
  </si>
  <si>
    <t>RONA BIOSCIENCE LIMITED</t>
  </si>
  <si>
    <t>ROTAM AGROCHEM INTERNAT CO</t>
  </si>
  <si>
    <t>RSP INFORMATION SERVICE COMPANY LTD</t>
  </si>
  <si>
    <t>Raman Mehta</t>
  </si>
  <si>
    <t>SADAT GAFOOR SHEAK ABDUL</t>
  </si>
  <si>
    <t>SAGADIGITS LTD</t>
  </si>
  <si>
    <t>SANMA ELETRON HONG KONG APPLIANCE COMPANY LTD</t>
  </si>
  <si>
    <t>SANWA BIOTECH LTD</t>
  </si>
  <si>
    <t>SBC VIRBAC LTD</t>
  </si>
  <si>
    <t>SCHNEIDER DAVID LYLE</t>
  </si>
  <si>
    <t>SCHOOL OF GROWTH LTD</t>
  </si>
  <si>
    <t>SCION LTD MEDICAL</t>
  </si>
  <si>
    <t>SCIPIO LIFE SCIENCES LTD</t>
  </si>
  <si>
    <t>SEALAND HOLDINGS CO LTD</t>
  </si>
  <si>
    <t>SENTRIX TECH LTD</t>
  </si>
  <si>
    <t>SHILEITECH LTD</t>
  </si>
  <si>
    <t>SHOALTER AUTOMATION LTD</t>
  </si>
  <si>
    <t>SICH CASKET COMPANY LTD</t>
  </si>
  <si>
    <t>SIJIE CHEN</t>
  </si>
  <si>
    <t>SILENTMODE LTD</t>
  </si>
  <si>
    <t>SILICAMED LTD</t>
  </si>
  <si>
    <t>SILVERLEAP TECH LIMITED</t>
  </si>
  <si>
    <t>SIMSEC HONG KONG LTD</t>
  </si>
  <si>
    <t>SIN KING HEI</t>
  </si>
  <si>
    <t>SINDBAD GROUP LTD</t>
  </si>
  <si>
    <t>SINGLE PERSON TRANSP DESIGN (SPTD) LTD</t>
  </si>
  <si>
    <t>SINGLE PERSON TRANSP DESIGN SPTD LTD</t>
  </si>
  <si>
    <t>SINO INTERNAT GROUP LTD</t>
  </si>
  <si>
    <t>SIREMIX GMBH</t>
  </si>
  <si>
    <t>SIU CHUNG WAH</t>
  </si>
  <si>
    <t>SJLENTMODE LTD</t>
  </si>
  <si>
    <t>SKALA FINTECH COMPANY LTD</t>
  </si>
  <si>
    <t>SKY PERFECT INTERNATIONAL LTD</t>
  </si>
  <si>
    <t>SMALL HEALTHY ENVIRONMENT LTD</t>
  </si>
  <si>
    <t>SMART BRAND LTD</t>
  </si>
  <si>
    <t>SMART CHIP MICROELECTRONIC CO LTD</t>
  </si>
  <si>
    <t>SMARTSENS TECH HK CO LTD</t>
  </si>
  <si>
    <t>SMITH ANDRE HUGO</t>
  </si>
  <si>
    <t>SMITH ANDREW JAMES</t>
  </si>
  <si>
    <t>SMITH PAUL ANTHONY</t>
  </si>
  <si>
    <t>SML MED TECH SOLUTIONS LTD</t>
  </si>
  <si>
    <t>SMOOTHWEB TECH LIMITED</t>
  </si>
  <si>
    <t>SMOOTHWEB TECH LTD</t>
  </si>
  <si>
    <t>SOL-MILLENNIUM MEDICAL HK LTD</t>
  </si>
  <si>
    <t>SOLARMAX PTE LTD</t>
  </si>
  <si>
    <t>SOLTAN MEHDI FREDERIK</t>
  </si>
  <si>
    <t>SOLUTIO LTD</t>
  </si>
  <si>
    <t>SOLVED BY TECHNOLOGY CO LIMITED</t>
  </si>
  <si>
    <t>SONIKURE HOLDINGS LTD</t>
  </si>
  <si>
    <t>SOURCE OF LIFE BIOTECHNOLOGY COMPANY LTD</t>
  </si>
  <si>
    <t>SOUTH KING HEALTH LTD</t>
  </si>
  <si>
    <t>SP AITH LTD</t>
  </si>
  <si>
    <t>SPEADTECH LTD</t>
  </si>
  <si>
    <t>SPENCER YU CHEONG LEUNG</t>
  </si>
  <si>
    <t>SPH BIOTHERAPEUTICS HK LTD</t>
  </si>
  <si>
    <t>SPLITMEDIALABS LTD</t>
  </si>
  <si>
    <t>ST MICROELECTRONICS LTD</t>
  </si>
  <si>
    <t>STAR BRIGHT BIO TECH LTD</t>
  </si>
  <si>
    <t>SU CC CORPORATION LTD</t>
  </si>
  <si>
    <t>SUCCESS ASIA INC LTD</t>
  </si>
  <si>
    <t>SUI YI KWOK</t>
  </si>
  <si>
    <t>SUN LUEN ELECTRICAL MFG CO LTD</t>
  </si>
  <si>
    <t>SUNNY TECH ENTERPRISE LIMITED</t>
  </si>
  <si>
    <t>SUPER GAINER INVESTMENT LTD</t>
  </si>
  <si>
    <t>SUPER RICH MOULDERS LTD</t>
  </si>
  <si>
    <t>SWAP HOLDINGS LTD</t>
  </si>
  <si>
    <t>SYMPHONY HOLDINGS LTD</t>
  </si>
  <si>
    <t>SYNGULAR TECH LIMITED</t>
  </si>
  <si>
    <t>TAM PUI LING</t>
  </si>
  <si>
    <t>TAM WENG KIE</t>
  </si>
  <si>
    <t>TANG CHIN YAU</t>
  </si>
  <si>
    <t>TARGET INFORMATION COMPANY LTD</t>
  </si>
  <si>
    <t>TCRCURE HONG KONG LTD</t>
  </si>
  <si>
    <t>TECTONIC TECH INNOVATION COMPANY LIMITED</t>
  </si>
  <si>
    <t>TENACIA BIOTECHNOLOGY HONG KONG CO LIMITED</t>
  </si>
  <si>
    <t>TENCENT MOBILITY LTD</t>
  </si>
  <si>
    <t>TERMINAL 1 LTD</t>
  </si>
  <si>
    <t>TESCO DENTAL HONG KONG LTD</t>
  </si>
  <si>
    <t>THE CHINESE UNIV OF HONG KONG OFFICE OF RES AND KNOWLEDGE TRANSFER SERVICES</t>
  </si>
  <si>
    <t>THE CHINESE UNIV OF HONG KONG OFFICE OF RESEARCH AND KNOWLEDGE TRANSFER SERVICES</t>
  </si>
  <si>
    <t>THE CHINESS UNIV OF HONG KONG</t>
  </si>
  <si>
    <t>THE HONGKONG POLYTECHNIC UNIV</t>
  </si>
  <si>
    <t>THINKIN MAN LIMITED</t>
  </si>
  <si>
    <t>THUNDER POWER NEW ENERGY VEHICLE DEVELOPMENT LTD</t>
  </si>
  <si>
    <t>THUNDER POWER NEW ENERGY VIHICLE DEV COMPANY LTD</t>
  </si>
  <si>
    <t>THUNDER POWER NEW ENERGY VIHICLE DEVELOPMENT COMPANY LTD</t>
  </si>
  <si>
    <t>TIBERIAS TECH HK LIMITED</t>
  </si>
  <si>
    <t>TMB LABS LTD</t>
  </si>
  <si>
    <t>TO CHI HO</t>
  </si>
  <si>
    <t>TOMOPHASE LTD</t>
  </si>
  <si>
    <t>TOMORROWS IP LTD A CHINESE COMPANY</t>
  </si>
  <si>
    <t>TOP VICTORY INVEST LTD</t>
  </si>
  <si>
    <t>TRANWALL HOLDINGS LTD C/O CHANG LEUNG HUI &amp; LI CPA LTD</t>
  </si>
  <si>
    <t>TSALYS LTD</t>
  </si>
  <si>
    <t>TSANG CHUN HUNG</t>
  </si>
  <si>
    <t>TSAO YUK FAN</t>
  </si>
  <si>
    <t>TSE YAN YIN</t>
  </si>
  <si>
    <t>TSZ HIM CHAU</t>
  </si>
  <si>
    <t>TUTOR GROUP LTD</t>
  </si>
  <si>
    <t>TUV SUD HONG KONG LTD</t>
  </si>
  <si>
    <t>TYME LTD</t>
  </si>
  <si>
    <t>TYMPHANY HK LTD</t>
  </si>
  <si>
    <t>Tai Chi Pang</t>
  </si>
  <si>
    <t>Terence Man Wai Ng</t>
  </si>
  <si>
    <t>U3D LTD</t>
  </si>
  <si>
    <t>ULEECO LTD</t>
  </si>
  <si>
    <t>UNITO SMART TECH LIMITED</t>
  </si>
  <si>
    <t>UNIV OF HONG KONG</t>
  </si>
  <si>
    <t>UNIWAY TECH LTD</t>
  </si>
  <si>
    <t>UP BLOCKCHAIN TECH LIMITED</t>
  </si>
  <si>
    <t>URBANCHAIN GROUP LTD</t>
  </si>
  <si>
    <t>US PACIFIC NONWOVENS INDUSTRY LTD</t>
  </si>
  <si>
    <t>VANFORD BIO DRUG DEVELOPMENT LTD</t>
  </si>
  <si>
    <t>VASHCHENKO VALERII VLADIMIROVICH</t>
  </si>
  <si>
    <t>VELLPHARM COMPANY LTD</t>
  </si>
  <si>
    <t>VELOCITY CORPORATION LTD</t>
  </si>
  <si>
    <t>VINCENT YUVAL R&amp;D LTD</t>
  </si>
  <si>
    <t>VISUO TECH PTY LIMITED</t>
  </si>
  <si>
    <t>VITARGENT (INTERNATIONAL) BIOTECHNOLOGY LTD</t>
  </si>
  <si>
    <t>VITARGENT INTERNATIONAL BIOTECHNOLOGY LTD</t>
  </si>
  <si>
    <t>VITRO TV HK LTD</t>
  </si>
  <si>
    <t>VIVA STAR BIOSCIENCES LTD</t>
  </si>
  <si>
    <t>VJ ELECTRONICS LTD</t>
  </si>
  <si>
    <t>VK Meditech Co Ltd</t>
  </si>
  <si>
    <t>VORNAGAIN LTD</t>
  </si>
  <si>
    <t>VVOW COMPANY LTD</t>
  </si>
  <si>
    <t>WAN KAI FUNG</t>
  </si>
  <si>
    <t>WANG NAN</t>
  </si>
  <si>
    <t>WANG RONGXUE</t>
  </si>
  <si>
    <t>WANG WAI TAK</t>
  </si>
  <si>
    <t>WATERCARE TECH LIMITED</t>
  </si>
  <si>
    <t>WELLS RESOURCES LTD</t>
  </si>
  <si>
    <t>WELSKY TECH LIMITED</t>
  </si>
  <si>
    <t>WELSKY TECH LTD</t>
  </si>
  <si>
    <t>WELSKY TECHNOLOGIES LTD</t>
  </si>
  <si>
    <t>WEX MEDICAL LTD</t>
  </si>
  <si>
    <t>WILDFACES TECH LIMITED</t>
  </si>
  <si>
    <t>WISDOM GARDEN HONG KONG LTD</t>
  </si>
  <si>
    <t>WISE ALLY HOLDINGS LTD</t>
  </si>
  <si>
    <t>WMT ASIA LTD</t>
  </si>
  <si>
    <t>WONDERLAND NURSERY GOODS</t>
  </si>
  <si>
    <t>WONG CHEUKLA FLORENCE</t>
  </si>
  <si>
    <t>WONG CHO KEE</t>
  </si>
  <si>
    <t>WONG HAU PLASTIC WORKS &amp; TRADING CO LTD</t>
  </si>
  <si>
    <t>WONG KA MAN PRISCILLA</t>
  </si>
  <si>
    <t>WONG KA PO</t>
  </si>
  <si>
    <t>WONG KEI TING</t>
  </si>
  <si>
    <t>WONG KWONG HOU</t>
  </si>
  <si>
    <t>WONG MING YIP WALLACE</t>
  </si>
  <si>
    <t>WONG WAN KEUNG RAYMOND</t>
  </si>
  <si>
    <t>WONG YEE TAK</t>
  </si>
  <si>
    <t>WONG YUEN CHIU</t>
  </si>
  <si>
    <t>WORLD CONCEPT DEVELOPMENT LTD</t>
  </si>
  <si>
    <t>WORLD FIELD HK LTD</t>
  </si>
  <si>
    <t>WORLD WIDE STATIONERY MFG CO</t>
  </si>
  <si>
    <t>WORLDMONEY BLOCKCHAIN FINANCIAL CO LTD</t>
  </si>
  <si>
    <t>WU CHENSHU</t>
  </si>
  <si>
    <t>WU DANIEL YIANG</t>
  </si>
  <si>
    <t>WU KAN</t>
  </si>
  <si>
    <t>XIAN LANFANG</t>
  </si>
  <si>
    <t>XIANLANG TECH CO LIMITED</t>
  </si>
  <si>
    <t>YAN KING TONG THOMAS</t>
  </si>
  <si>
    <t>YANG FOO CHIA CARL</t>
  </si>
  <si>
    <t>YAU TAT WAI</t>
  </si>
  <si>
    <t>YEUNG CHI WAI</t>
  </si>
  <si>
    <t>YEUNG DAVID KA WAI</t>
  </si>
  <si>
    <t>YEUNG WAI KIN</t>
  </si>
  <si>
    <t>YINGXIUKE LTD</t>
  </si>
  <si>
    <t>YIP CHING WA</t>
  </si>
  <si>
    <t>YIP MING HAM</t>
  </si>
  <si>
    <t>YOUNG YAU YAU CECILIA</t>
  </si>
  <si>
    <t>YOUNG’S ENG CO LTD</t>
  </si>
  <si>
    <t>YU STEPHEN WAI CHIU</t>
  </si>
  <si>
    <t>YU WAI CHI RAYMOND</t>
  </si>
  <si>
    <t>YUAN XU</t>
  </si>
  <si>
    <t>YUJET INTERNATIONAL LTD</t>
  </si>
  <si>
    <t>Yeung Nang Chong</t>
  </si>
  <si>
    <t>Z5 GLOBAL GROUP LTD</t>
  </si>
  <si>
    <t>ZHONGJI HENGRUN INT HOLDINGS LTD</t>
  </si>
  <si>
    <t>ZODIAC BIO TECH LTD</t>
  </si>
  <si>
    <t>ZOLTRIX MAT INTERNATIONAL LIMITED</t>
  </si>
  <si>
    <t>ZYETRIC AUGMENTED REALITY LTD</t>
  </si>
  <si>
    <t>ZYETRIC ENTERPRISE LTD</t>
  </si>
  <si>
    <t>ZYETRIC GAMING LTD</t>
  </si>
  <si>
    <t>ZYETRIC VIRTUAL REALITY LTD</t>
  </si>
  <si>
    <t>1 AGENCY FOR SCIENCE TECH AND RESEARCH</t>
  </si>
  <si>
    <t>1 AGENCY FOR SCIENCE TECHNOLOGY AND RESEARCH</t>
  </si>
  <si>
    <t>1BSTORIES PTE LTD</t>
  </si>
  <si>
    <t>1CITADEL PTE LTD</t>
  </si>
  <si>
    <t>1EXCHANGE PTE LTD</t>
  </si>
  <si>
    <t>23 IKIGAI PTE LTD</t>
  </si>
  <si>
    <t>3D IM PTE LTD</t>
  </si>
  <si>
    <t>AAC OPTICS SOLUTIONS PTE LTD</t>
  </si>
  <si>
    <t>AACHEN SCIENT INT PTE LTD</t>
  </si>
  <si>
    <t>AASTAR PTE LTD</t>
  </si>
  <si>
    <t>ACHROMAZ PTE LTD</t>
  </si>
  <si>
    <t>ACI MEDICAL PTE LTD</t>
  </si>
  <si>
    <t>ACUMEN RES LABORATORIES PTE LTD</t>
  </si>
  <si>
    <t>ADVANCED ANALYZER TECH PTE LTD</t>
  </si>
  <si>
    <t>ADVANCED BIO MACHINES PTE LTD</t>
  </si>
  <si>
    <t>ADVANCED CELL THERAPEUTICS PTE LTD</t>
  </si>
  <si>
    <t>ADVANCED ELECTROACOUSTIC PTE LTD</t>
  </si>
  <si>
    <t>ADVANCED INSTR PTE LTD</t>
  </si>
  <si>
    <t>ADVANCED OPHTHALMIC INNOVATIONS PTE LTD</t>
  </si>
  <si>
    <t>AEA INT HOLDINGS PTE LTD</t>
  </si>
  <si>
    <t>AEVICE HEALTH PTE LTD</t>
  </si>
  <si>
    <t>AFFINIDI PTE LTD</t>
  </si>
  <si>
    <t>AGENCY FOR SCIENCE RESEARCH AND TECH</t>
  </si>
  <si>
    <t>AGENCY FOR SCIENCE TECH &amp; RESEARCH</t>
  </si>
  <si>
    <t>AGENCY FOR SCIENCE TECH AND RESEARCH ASTARSTAR]</t>
  </si>
  <si>
    <t>AGENCY FOR SCIENCE TECH AND RESEARCH “ASTARSTAR”</t>
  </si>
  <si>
    <t>AGENCY FOR SCIENCE TECH ANO RESEARCH</t>
  </si>
  <si>
    <t>AGENCY FOR SCIENCE TECH END RESEARCH</t>
  </si>
  <si>
    <t>AGENCY FOR SCIENCE TECH TECH AND RESEARCH</t>
  </si>
  <si>
    <t>AGENCY FOR SCIENCE TECHNOLOGY AND RESEARCH ASTARSTAR]</t>
  </si>
  <si>
    <t>AGENCY FOR SCIENCE TECNOLOGY RES</t>
  </si>
  <si>
    <t>AGENCY OR SCIENCE TECH AND RES</t>
  </si>
  <si>
    <t>AGRI-FOOD &amp; VETERINARY AUTHORITY OF SINGAPORE</t>
  </si>
  <si>
    <t>AGRONOSIS PTE LTD</t>
  </si>
  <si>
    <t>AI KAIGO PTE LTD</t>
  </si>
  <si>
    <t>AI PALETTE PTE LTD</t>
  </si>
  <si>
    <t>AI SEER PTE LTD</t>
  </si>
  <si>
    <t>AIM BIOTECH PTE LTD</t>
  </si>
  <si>
    <t>AIMAZING PTE LTD</t>
  </si>
  <si>
    <t>AIMITARI RES PTE LTD</t>
  </si>
  <si>
    <t>AIO TECH RESERVE PTE LTD</t>
  </si>
  <si>
    <t>AIRBUS SINGAPORE PRIVATE LTD</t>
  </si>
  <si>
    <t>AIRES INVESTMENT HOLDINGS PRIVATE LTD</t>
  </si>
  <si>
    <t>AKRIBIS SYSTEMS PTE LTD</t>
  </si>
  <si>
    <t>AKUNAH REFLECT PRIVATE LTD</t>
  </si>
  <si>
    <t>AL SEER PTE LTD</t>
  </si>
  <si>
    <t>ALBATROZ THERAPEUTICS PTE LTD</t>
  </si>
  <si>
    <t>ALBIUS SCIENCES ALPHA PRIVATE LTD</t>
  </si>
  <si>
    <t>ALGAE GLOBAL CENTER PTE LTD</t>
  </si>
  <si>
    <t>ALPACA RES PTE LTD</t>
  </si>
  <si>
    <t>ALPHA DIRECT INSURTECH PTE LTD</t>
  </si>
  <si>
    <t>ALPHACON NETWORK FOUND LTD</t>
  </si>
  <si>
    <t>ALTELLE PTE LTD</t>
  </si>
  <si>
    <t>ALTERNATIVE CAPITAL SOLUTIONS PTE LTD</t>
  </si>
  <si>
    <t>AMARISAI PTE LTD</t>
  </si>
  <si>
    <t>AMCURE BIOSCIENCES PTE LTD</t>
  </si>
  <si>
    <t>AMKOR TECH SINGAPORE HOLDING PTE</t>
  </si>
  <si>
    <t>AMPLE SUSTAINABLE BRANDS PTE LTD</t>
  </si>
  <si>
    <t>ANDERSON MICHAEL</t>
  </si>
  <si>
    <t>ANG AIK MENG</t>
  </si>
  <si>
    <t>ANG GABRIEL JIN JUAN</t>
  </si>
  <si>
    <t>ANG TEOH HWA</t>
  </si>
  <si>
    <t>ANGSANA MOLECULAR AND DIAGNOSTICS LABORATORY PTE LTD</t>
  </si>
  <si>
    <t>ANKON TECHNOLOGIES CO LTD</t>
  </si>
  <si>
    <t>ANOR TECH PTE LTD</t>
  </si>
  <si>
    <t>ANR DESIGN ENG PTE LTD</t>
  </si>
  <si>
    <t>ANTONY PRINCE JAMES SELVARAJ</t>
  </si>
  <si>
    <t>ANTS INNOVATE PTE LTD</t>
  </si>
  <si>
    <t>ANX ANX IP HOLDING PTE LTD</t>
  </si>
  <si>
    <t>ANXIP HOLDING PTE LTD</t>
  </si>
  <si>
    <t>AON SINGAPORE CENTRE FOR INNOVTION STRATEGY AND MAN</t>
  </si>
  <si>
    <t>APEIRON TECH PTE LTD</t>
  </si>
  <si>
    <t>APTIV TECH LTD</t>
  </si>
  <si>
    <t>APTUS BUSINESS LOGIC PTE LTD</t>
  </si>
  <si>
    <t>AQUAEASY PTE LTD</t>
  </si>
  <si>
    <t>ARCTAN ANALYTICS PTE LTD</t>
  </si>
  <si>
    <t>ARECO INT PTE LTD</t>
  </si>
  <si>
    <t>ARLANXEO SINGAPORE PTE LTD</t>
  </si>
  <si>
    <t>AROLI VEETTIL RAJESH KUMAR</t>
  </si>
  <si>
    <t>ARROW MED DESIGN PTE LTD</t>
  </si>
  <si>
    <t>ARROW-MED DESIGN PTE LTD</t>
  </si>
  <si>
    <t>ARTIFICIAL INTELLIGENCE ROBOTICS PTE LTD</t>
  </si>
  <si>
    <t>ASIA BIOTECH PTE LTD</t>
  </si>
  <si>
    <t>ASIA MEDICAL CENTER PRIVATE LTD</t>
  </si>
  <si>
    <t>ASPEX OF BIODYNAMICS PTE LTD</t>
  </si>
  <si>
    <t>ASPEX OF DESIGN PTE LTD</t>
  </si>
  <si>
    <t>ASTORIA SOLUTIONS PTE LTD</t>
  </si>
  <si>
    <t>ASUS GLOBAL PTE LTD</t>
  </si>
  <si>
    <t>AUGMENTUS PTE LTD</t>
  </si>
  <si>
    <t>AUNG TIN</t>
  </si>
  <si>
    <t>AUTONOTECH PTE LTD</t>
  </si>
  <si>
    <t>AVAGO TECH INTERNATIONAL SALES PTE LIMITE</t>
  </si>
  <si>
    <t>AVAGO TECNOLOGIES INTERNATIONAL SALES PTE LTD</t>
  </si>
  <si>
    <t>AVALANCHE STUDIO PTE LTD</t>
  </si>
  <si>
    <t>AVENNETZ TECHNOLOGIES PTE LTD</t>
  </si>
  <si>
    <t>AXCYNSIS THERAPEUTICS PTE LTD</t>
  </si>
  <si>
    <t>AXINAN PTE LTD</t>
  </si>
  <si>
    <t>AXP Solutions Pte Ltd</t>
  </si>
  <si>
    <t>AYZER SENSE TECH PTE LTD</t>
  </si>
  <si>
    <t>Attribuild Pte Ltd</t>
  </si>
  <si>
    <t>Avida Health Pte Ltd</t>
  </si>
  <si>
    <t>BABY JOHN</t>
  </si>
  <si>
    <t>BANSAL RAJESH</t>
  </si>
  <si>
    <t>BARATHI VELUCHAMY AMUTHA</t>
  </si>
  <si>
    <t>BASUKI JOHAN SEBASTIAN</t>
  </si>
  <si>
    <t>BEAUTY NATION PTE LTD</t>
  </si>
  <si>
    <t>BELLION CLOFE TECH PTE LTD</t>
  </si>
  <si>
    <t>BETA MEDTECH PTE LTD</t>
  </si>
  <si>
    <t>BEUERMAN ROGER</t>
  </si>
  <si>
    <t>BHUIYAN MD IHTIMAM HOSSAIN</t>
  </si>
  <si>
    <t>BILLI TECH PTE LTD</t>
  </si>
  <si>
    <t>BINARYFLUX PTE LTD</t>
  </si>
  <si>
    <t>BIOCELL INNOVATIONS PTE LTD</t>
  </si>
  <si>
    <t>BIOCEUTICALS PTE LTD</t>
  </si>
  <si>
    <t>BIOCOZ GLOBAL PTE LTD</t>
  </si>
  <si>
    <t>BIOKEY PTE LTD</t>
  </si>
  <si>
    <t>BIOLIDICS LTD</t>
  </si>
  <si>
    <t>BIOMERS PTE LTD</t>
  </si>
  <si>
    <t>BIORITHM PTE LTD</t>
  </si>
  <si>
    <t>BIOSENSE DIAGNOSTICS PTE LTD</t>
  </si>
  <si>
    <t>BIOSENSORS INT GROUP LTD</t>
  </si>
  <si>
    <t>BIOSYNGEN PTE LTD</t>
  </si>
  <si>
    <t>BIOVASCULAR THERAPEUTICS PTE LTD</t>
  </si>
  <si>
    <t>BIT TRAP PTE LTD</t>
  </si>
  <si>
    <t>BLACKPANDA PTE LTD</t>
  </si>
  <si>
    <t>BLAIR SEAN</t>
  </si>
  <si>
    <t>BLOOMMED TECH PTE LTD</t>
  </si>
  <si>
    <t>BLOOMMED TECH PTE LTD SG</t>
  </si>
  <si>
    <t>BLOSH CO PTE LTD</t>
  </si>
  <si>
    <t>BLUE PLANET ENV SOLUTION PTE LTD</t>
  </si>
  <si>
    <t>BLUE PLANET ENV SOLUTIONS PTE LTD</t>
  </si>
  <si>
    <t>BOEY YIN CHIANG</t>
  </si>
  <si>
    <t>BORECAM ASIA PTE LTD</t>
  </si>
  <si>
    <t>BORRIES PTE LTD</t>
  </si>
  <si>
    <t>BOXTHREE PTE LTD</t>
  </si>
  <si>
    <t>BRIGHTGENE PTE LTD</t>
  </si>
  <si>
    <t>BRILLNICS SINGAPORE PTE LTD</t>
  </si>
  <si>
    <t>BROWN CHRISTOPER J</t>
  </si>
  <si>
    <t>BROWN CHRISTOPHER J</t>
  </si>
  <si>
    <t>BURNNET OR TAI LUNG</t>
  </si>
  <si>
    <t>Bezyazychnyy Dmitry</t>
  </si>
  <si>
    <t>Biotix PTE LTD</t>
  </si>
  <si>
    <t>C/O H3 DYNAMICS PTE LTD</t>
  </si>
  <si>
    <t>CACHE PRIVATE LTD</t>
  </si>
  <si>
    <t>CAI DANQING</t>
  </si>
  <si>
    <t>CALIGNER PTE LTD</t>
  </si>
  <si>
    <t>CANDLEJOY PTE LTD</t>
  </si>
  <si>
    <t>CAPBRIDGE CORNERSTONE PTE LTD</t>
  </si>
  <si>
    <t>CAPILLARY PTE LTD</t>
  </si>
  <si>
    <t>CARMENTIX PTE LTD</t>
  </si>
  <si>
    <t>CASBIO S PTE LTD</t>
  </si>
  <si>
    <t>CELL ID PTE LTD</t>
  </si>
  <si>
    <t>CENNERV PHARMA (S) PTE LTD</t>
  </si>
  <si>
    <t>CENNERV PHARMA S PTE LTD</t>
  </si>
  <si>
    <t>CHAKRABARTI ANJAN</t>
  </si>
  <si>
    <t>CHAN DOREEN</t>
  </si>
  <si>
    <t>CHAN JASON</t>
  </si>
  <si>
    <t>CHAN KELLI ZHAO RONG</t>
  </si>
  <si>
    <t>CHAN SIDNEY SOONG LING</t>
  </si>
  <si>
    <t>CHAN WILLIAM CHI YUEN</t>
  </si>
  <si>
    <t>CHANDY GEORGE KANIANTHARA</t>
  </si>
  <si>
    <t>CHANG JOSEPH SYLVESTER</t>
  </si>
  <si>
    <t>CHANG LIN HUI</t>
  </si>
  <si>
    <t>CHANG MATTHEW WOOK</t>
  </si>
  <si>
    <t>CHANGI AIRPORT GROUP SINGAPORE PTE LTD</t>
  </si>
  <si>
    <t>CHAUHAN GARIMA</t>
  </si>
  <si>
    <t>CHEE KEONG TEE</t>
  </si>
  <si>
    <t>CHEKTEC PTE LTD</t>
  </si>
  <si>
    <t>CHELSEA NISBAN</t>
  </si>
  <si>
    <t>CHEN ANDREW THEODORE</t>
  </si>
  <si>
    <t>CHEN DIZHONG</t>
  </si>
  <si>
    <t>CHEN I MING</t>
  </si>
  <si>
    <t>CHENG JUN</t>
  </si>
  <si>
    <t>CHENG KIT YEW</t>
  </si>
  <si>
    <t>CHENG KONG LEONG</t>
  </si>
  <si>
    <t>CHEUNG CAROL</t>
  </si>
  <si>
    <t>CHEW IAN</t>
  </si>
  <si>
    <t>CHEW KHIEN MEOW DAVID</t>
  </si>
  <si>
    <t>CHEW RONG JIE DAVID</t>
  </si>
  <si>
    <t>CHEW RONG QI PHOEBE</t>
  </si>
  <si>
    <t>CHEW SU CHUEN</t>
  </si>
  <si>
    <t>CHIA NGEOW KHING</t>
  </si>
  <si>
    <t>CHIA XUJIE XAVIER</t>
  </si>
  <si>
    <t>CHIAN KERM SIN</t>
  </si>
  <si>
    <t>CHIBA SHUNSUKE</t>
  </si>
  <si>
    <t>CHIKKA PTE LTD</t>
  </si>
  <si>
    <t>CHIN HON TOH</t>
  </si>
  <si>
    <t>CHISCAN HOLDING PTE LTD</t>
  </si>
  <si>
    <t>CHO MEI SAN GIGI</t>
  </si>
  <si>
    <t>CHOO ALVIN</t>
  </si>
  <si>
    <t>CHRISTOPHER JON PEARCE</t>
  </si>
  <si>
    <t>CHUA MICHELE TSU FERN</t>
  </si>
  <si>
    <t>CHUGAI PHARMABODY RES PTE LTD</t>
  </si>
  <si>
    <t>CINTECHCO TECH PTE LTD</t>
  </si>
  <si>
    <t>CIRCL PTE LTD</t>
  </si>
  <si>
    <t>CIRCULAR IND HOLDING PTE LTD</t>
  </si>
  <si>
    <t>CJ TECH HOLDINGS PTE LTD</t>
  </si>
  <si>
    <t>CLAULT PTE LTD</t>
  </si>
  <si>
    <t>CLEARBRIDGE BIOMEDICS PTE LTD</t>
  </si>
  <si>
    <t>CLEARBRIDGE BIOPHOTONICS PTE LTD</t>
  </si>
  <si>
    <t>CLIMATE RESOURCES EXCHANGE INT PTE LTD</t>
  </si>
  <si>
    <t>CLOUDRADIGM PTE LTD</t>
  </si>
  <si>
    <t>CMT HEALTH PTE LTD</t>
  </si>
  <si>
    <t>CO NUT INK PTE LTD</t>
  </si>
  <si>
    <t>COCONUTZ PTE LTD</t>
  </si>
  <si>
    <t>COHEN ASSAF</t>
  </si>
  <si>
    <t>COMPASS YAP CHENG KANG</t>
  </si>
  <si>
    <t>COMPONENT AEROSPACE SINGAPORE PTE LTD</t>
  </si>
  <si>
    <t>CONEX HEALTHCARE PTE LTD</t>
  </si>
  <si>
    <t>CONFIRMU PTE LTD</t>
  </si>
  <si>
    <t>CONTINALE MEDICAL PTE LTD</t>
  </si>
  <si>
    <t>COOK STUART ALEXANDER</t>
  </si>
  <si>
    <t>COOPER JOSEPH</t>
  </si>
  <si>
    <t>CORTI THERAPEUTICS PTE LTD</t>
  </si>
  <si>
    <t>CRAYON DATA PTE LTD</t>
  </si>
  <si>
    <t>CREDIT SUISSE AG SINGAPORE BRANCH</t>
  </si>
  <si>
    <t>CROUSPEYRE CHARLES HUGUES MAX</t>
  </si>
  <si>
    <t>CROWN DIGITAL PTE LTD</t>
  </si>
  <si>
    <t>CUEZEN INC</t>
  </si>
  <si>
    <t>CURIUM PTE LTD</t>
  </si>
  <si>
    <t>CURTIN DAVID WILLIAM</t>
  </si>
  <si>
    <t>CXA GROUP PTE LTD</t>
  </si>
  <si>
    <t>CYCLECT ELECTRICAL ENG PTE LTD</t>
  </si>
  <si>
    <t>Cheng Wei Ann</t>
  </si>
  <si>
    <t>Cyber Armor Pte Ltd</t>
  </si>
  <si>
    <t>DATA SPARK PTE LTD</t>
  </si>
  <si>
    <t>DATAESP PRIVATE LTD</t>
  </si>
  <si>
    <t>DATHENA SCIENCE PTD LTD</t>
  </si>
  <si>
    <t>DAVIES GARETH</t>
  </si>
  <si>
    <t>DAVISSEN VIRASAWMY</t>
  </si>
  <si>
    <t>DCONSTRUCT TECH PTE LTD</t>
  </si>
  <si>
    <t>DEEPGREEN ENG PTE LTD</t>
  </si>
  <si>
    <t>DEFUGO TECHOLOGIES PTE LTD</t>
  </si>
  <si>
    <t>DELIGHTEX PTE LTD</t>
  </si>
  <si>
    <t>DELTA ELECTRONICS INT SINGAPORE PTE LTD</t>
  </si>
  <si>
    <t>DEMAZURE MARIE</t>
  </si>
  <si>
    <t>DESIKAR JAISHRI ELLENGOVAN</t>
  </si>
  <si>
    <t>DESIWE TECH PTE LTD</t>
  </si>
  <si>
    <t>DESKERA SINGAPORE PTE LTD</t>
  </si>
  <si>
    <t>DESYGNER PTE LTD</t>
  </si>
  <si>
    <t>DETLA ELECTRONICS INTL SINGAPORE PTE LTD</t>
  </si>
  <si>
    <t>DEVADAS YVONNE</t>
  </si>
  <si>
    <t>DH TECH DEVEKIONENT PTE LTD</t>
  </si>
  <si>
    <t>DHARMATILLEKE MEDHA</t>
  </si>
  <si>
    <t>DHARMATILLEKE NANAYAKKARA</t>
  </si>
  <si>
    <t>DI CICCO MAURILIO</t>
  </si>
  <si>
    <t>DIALYSS PTE LTD</t>
  </si>
  <si>
    <t>DIAN ZAHNG</t>
  </si>
  <si>
    <t>DIAPER RECYCLING TECH PTE LTD</t>
  </si>
  <si>
    <t>DIFFERENCE BIOTECH PTE LTD</t>
  </si>
  <si>
    <t>DIGITAL ALPHA GROUP PTE LTD</t>
  </si>
  <si>
    <t>DIGITAL ENTERTAINMENT ASSET PTE LTD</t>
  </si>
  <si>
    <t>DINO TECH PTE LTD</t>
  </si>
  <si>
    <t>DIPTECH PTE LTD</t>
  </si>
  <si>
    <t>DOOOGA TEC PTE LTD</t>
  </si>
  <si>
    <t>DOTBIO PTE LTD</t>
  </si>
  <si>
    <t>DOXA HOLDINGS INT PTE LTD</t>
  </si>
  <si>
    <t>DR CLEAR PTE LTD</t>
  </si>
  <si>
    <t>DRAGONFLY FINTECH PTE LTD</t>
  </si>
  <si>
    <t>DREAMWATER FLOAT</t>
  </si>
  <si>
    <t>DRGEORGIALEE PTE LTD</t>
  </si>
  <si>
    <t>DRUVA TECH PTE LTD</t>
  </si>
  <si>
    <t>DURAPOWER HOLDINGS PTE LTD</t>
  </si>
  <si>
    <t>DYNASTY ESPORTS PTE LTD</t>
  </si>
  <si>
    <t>David William Curtin</t>
  </si>
  <si>
    <t>Delsson Singapore Pte Ltd</t>
  </si>
  <si>
    <t>Du Toit Philip Christopher</t>
  </si>
  <si>
    <t>E2S2 SYSTEMS PTE LTD</t>
  </si>
  <si>
    <t>EASTERN HEALTH ALLIANCE PTE LTD</t>
  </si>
  <si>
    <t>ECOMMERCE ENABLERS PTE LTD</t>
  </si>
  <si>
    <t>EDDE PTE LTD</t>
  </si>
  <si>
    <t>EDKINS STEPHEN</t>
  </si>
  <si>
    <t>EDTECH PLUS PTE LTD</t>
  </si>
  <si>
    <t>EDUCATION INDEX MAN ASIA PACIFIC PTE LTD</t>
  </si>
  <si>
    <t>EDWARDS PAUL JEYASINGHAM</t>
  </si>
  <si>
    <t>EINNOVATIONS HOLDING PTE LTD</t>
  </si>
  <si>
    <t>EINS TECH PTE LTD</t>
  </si>
  <si>
    <t>ELLAMED IP &amp; SERVICES PTE LTD</t>
  </si>
  <si>
    <t>EM2AI Pte Ltd</t>
  </si>
  <si>
    <t>EMAGE TOMO PTE LTD</t>
  </si>
  <si>
    <t>EMM DIAGNOSTICS PTE LTD</t>
  </si>
  <si>
    <t>EMO TECH PTE LTD</t>
  </si>
  <si>
    <t>ENDOSIQ TECH PTE LTD</t>
  </si>
  <si>
    <t>ENERGAIA PTE LTD</t>
  </si>
  <si>
    <t>ENG LOAN PING</t>
  </si>
  <si>
    <t>ENSIGN INFOSECURITY CYBERSECURITY PTE LTD</t>
  </si>
  <si>
    <t>ENSIGN INFOSECURITY PTD LTD</t>
  </si>
  <si>
    <t>ENVISON DIGITAL INT PTE LTD</t>
  </si>
  <si>
    <t>EPIONE RES AND DEVELOPMENT INSTITURE LTD</t>
  </si>
  <si>
    <t>ETH SINGAPORE SEC LTD</t>
  </si>
  <si>
    <t>ETHERSECURITY PACIFIC HOLDINGS PTE LTD</t>
  </si>
  <si>
    <t>EU YAN SANG INT LTD</t>
  </si>
  <si>
    <t>EUREKA ANALYTICS PTE LTD</t>
  </si>
  <si>
    <t>EVERTRON HOLDINGS PTE LTD</t>
  </si>
  <si>
    <t>EXCELITAS TECH SINGAPORE PTE LTD</t>
  </si>
  <si>
    <t>EXOGEN PTE LTD</t>
  </si>
  <si>
    <t>EYRIS PTE LTD</t>
  </si>
  <si>
    <t>Enjin PTE LTD</t>
  </si>
  <si>
    <t>FABRICA ROBOTICS PTE LTD</t>
  </si>
  <si>
    <t>FANG MING</t>
  </si>
  <si>
    <t>FANG YANG LIT</t>
  </si>
  <si>
    <t>FASTACASH PTE LTD</t>
  </si>
  <si>
    <t>FENG SHU</t>
  </si>
  <si>
    <t>FERMATICS PTE LTD</t>
  </si>
  <si>
    <t>FERRER FERNANDO J</t>
  </si>
  <si>
    <t>FIBROSOFT PTE LTD</t>
  </si>
  <si>
    <t>FLEXOSENSE PTE LTD</t>
  </si>
  <si>
    <t>FMC ARGO SINGAPORE PTE LTD</t>
  </si>
  <si>
    <t>FMCG CONSULTING</t>
  </si>
  <si>
    <t>FMCG CONSULTING LTD</t>
  </si>
  <si>
    <t>FORIS TECH PTE LTD</t>
  </si>
  <si>
    <t>FORTH TV PTE LTD</t>
  </si>
  <si>
    <t>FOX GLACIER ASSET MAN INC</t>
  </si>
  <si>
    <t>FOX GLACIER ASSET MAN LLC</t>
  </si>
  <si>
    <t>FRACTAL COGNITIVES PTE LTD</t>
  </si>
  <si>
    <t>FRANCIS KWOK</t>
  </si>
  <si>
    <t>FRESHTOHOME PTE LTD</t>
  </si>
  <si>
    <t>FSC TECH PTE LTD</t>
  </si>
  <si>
    <t>FUNDNICE PTE LTD</t>
  </si>
  <si>
    <t>FUNG HO CHUNG NICHOLAS</t>
  </si>
  <si>
    <t>Float Foods Pte Ltd</t>
  </si>
  <si>
    <t>G NIUS PTE LTD</t>
  </si>
  <si>
    <t>GAMOT GLOBAL PTE LTD</t>
  </si>
  <si>
    <t>GAO XINTING</t>
  </si>
  <si>
    <t>GARINI TECH CORPORATION PTE LTD</t>
  </si>
  <si>
    <t>GASHUBUNITED UTILITY PTE LTD</t>
  </si>
  <si>
    <t>GATE INFORMATION PTE LTD</t>
  </si>
  <si>
    <t>GELENCSER ZOLTAN</t>
  </si>
  <si>
    <t>GENERAL SYSTEMS SG PTE LTD</t>
  </si>
  <si>
    <t>GENESISPRO PTE LTD</t>
  </si>
  <si>
    <t>GET TO KNOW YOUR BRAIN PTE LTD</t>
  </si>
  <si>
    <t>GHOSH ATINDRA NATH</t>
  </si>
  <si>
    <t>GLOBAL ENGINEERS INVEST SINGAPORE PTE LTD</t>
  </si>
  <si>
    <t>GLOBAL ENGINEERS TECH PTE LTD</t>
  </si>
  <si>
    <t>GLOBAL GENE CORP PTE LTD</t>
  </si>
  <si>
    <t>GLOOBE PTE LTD</t>
  </si>
  <si>
    <t>GO PLUS HOLDINGS PTE LTD</t>
  </si>
  <si>
    <t>GODEVA PTE LTD</t>
  </si>
  <si>
    <t>GOESCH TORSTEN</t>
  </si>
  <si>
    <t>GOH CHERN PING</t>
  </si>
  <si>
    <t>GOH CHIOK LEONG</t>
  </si>
  <si>
    <t>GOH SAN HWA</t>
  </si>
  <si>
    <t>GOODMAN FIELDER PTE LTD</t>
  </si>
  <si>
    <t>GOPAL PAMELA E WEI</t>
  </si>
  <si>
    <t>GOPALAN RAJA</t>
  </si>
  <si>
    <t>GOPI KANNAN G JAPHIRE</t>
  </si>
  <si>
    <t>GOZALI RITA</t>
  </si>
  <si>
    <t>GPS LANDS SINGAPORE PTE LTD</t>
  </si>
  <si>
    <t>GRABTAXI HOLDING PTE LTD</t>
  </si>
  <si>
    <t>GRAND ADVANCE TECH PTE LTD</t>
  </si>
  <si>
    <t>GREENPHYTO PTE LTD</t>
  </si>
  <si>
    <t>GRUPP AJ BI GLOBAL PRAJVET LTD</t>
  </si>
  <si>
    <t>GT ROBOT TECH PTE LTD</t>
  </si>
  <si>
    <t>GUAN ZHIYUAN</t>
  </si>
  <si>
    <t>GUNASEKERAN DINESH VISVA</t>
  </si>
  <si>
    <t>GUPTA SHIKAR</t>
  </si>
  <si>
    <t>GivePlease Pte Ltd</t>
  </si>
  <si>
    <t>Global Healthcare SG Pte Ltd</t>
  </si>
  <si>
    <t>H3 DYNAMICS PTE LTD</t>
  </si>
  <si>
    <t>HAISCO INNOVATIVE PHARMACEUTICAL PTE LTD</t>
  </si>
  <si>
    <t>HALESIGHT PTE LTD</t>
  </si>
  <si>
    <t>HALF EPSILON PTE LTD</t>
  </si>
  <si>
    <t>HALSTEAD JOSEPH</t>
  </si>
  <si>
    <t>HANERA PTE LTD</t>
  </si>
  <si>
    <t>HANNAH LIFE</t>
  </si>
  <si>
    <t>HARGREAVES CAROL ANNE DR</t>
  </si>
  <si>
    <t>HEALINT PTE LTD</t>
  </si>
  <si>
    <t>HEALTH PARTNERS PTE LTD</t>
  </si>
  <si>
    <t>HEALTHLINK PROTOCOL PTE LTD</t>
  </si>
  <si>
    <t>HEHEALTH PTE LTD</t>
  </si>
  <si>
    <t>HELAXY INC</t>
  </si>
  <si>
    <t>HEMO BIOENGINEERING PTE LTD</t>
  </si>
  <si>
    <t>HERBA INVEST PTE LTD</t>
  </si>
  <si>
    <t>HEWITT RUSSELL JAMES</t>
  </si>
  <si>
    <t>HI BEAU GROUP PTE LTD</t>
  </si>
  <si>
    <t>HICC PTE LTD</t>
  </si>
  <si>
    <t>HICURA MEDICAL PTE LTD</t>
  </si>
  <si>
    <t>HIJO IP PTE LD</t>
  </si>
  <si>
    <t>HIJO IP PTE LTD</t>
  </si>
  <si>
    <t>HILL ROM SERVICE PTE LTD</t>
  </si>
  <si>
    <t>HILLE JOHANNES</t>
  </si>
  <si>
    <t>HIRAO ICHIRO</t>
  </si>
  <si>
    <t>HISHAB SINGAPORE PRIVATE LTD</t>
  </si>
  <si>
    <t>HO CHUN LOONG</t>
  </si>
  <si>
    <t>HOME CONTROL SINGAPORE PTE LTD</t>
  </si>
  <si>
    <t>HONG GA SZE</t>
  </si>
  <si>
    <t>HOUSING AND DEV BOARD</t>
  </si>
  <si>
    <t>HOYA MEDICAL SINAPORE PTE LTD</t>
  </si>
  <si>
    <t>HRIBOVSEK FRANCOIS</t>
  </si>
  <si>
    <t>HU YUANYU</t>
  </si>
  <si>
    <t>HUANG MICHELE</t>
  </si>
  <si>
    <t>HUANG YINGYING</t>
  </si>
  <si>
    <t>HUEI LOH YIN</t>
  </si>
  <si>
    <t>HUI DING INT PTE LTD</t>
  </si>
  <si>
    <t>HUIDAGENE THERAPEUTICS PTE LTD</t>
  </si>
  <si>
    <t>HUMANBODY SPACE AI MEDTECH GROUP PTE LTD</t>
  </si>
  <si>
    <t>HUMMINGBIRD BIOSCIENCES HOLDINGS LTD</t>
  </si>
  <si>
    <t>HUNZIKER WALTER</t>
  </si>
  <si>
    <t>HUS UNMANNED SYSTEMS PTE LTD</t>
  </si>
  <si>
    <t>HYPERGENOMICS PTE LTD</t>
  </si>
  <si>
    <t>Horizon IP Pte Ltd</t>
  </si>
  <si>
    <t>Huang ying ying</t>
  </si>
  <si>
    <t>ICO PLATFORM PTE LTD</t>
  </si>
  <si>
    <t>IGIN SMART HYGIENE PTE LTD</t>
  </si>
  <si>
    <t>IIDA TAKEO</t>
  </si>
  <si>
    <t>IKO PTE LTD</t>
  </si>
  <si>
    <t>ILUMINA SINGAPORE PTE LTD</t>
  </si>
  <si>
    <t>IMMUNOA PTE LTD</t>
  </si>
  <si>
    <t>INCOME INSURANCE LTD</t>
  </si>
  <si>
    <t>INDRAKESUMA HISYAM NURSAID</t>
  </si>
  <si>
    <t>INFINITY OPTICS SOLUTIONS PTE LTD</t>
  </si>
  <si>
    <t>INFINIUM ROBOTICS PTE LTD</t>
  </si>
  <si>
    <t>INFO COMMUNICATIONS MEDIA DEV AUTHORITY</t>
  </si>
  <si>
    <t>INHIBIO BIOSCIENCE PTE LTD</t>
  </si>
  <si>
    <t>INNOCIMAB PTE LTD</t>
  </si>
  <si>
    <t>INNOSIMAB PTE LTD</t>
  </si>
  <si>
    <t>INNOSPARKS PTE LTD</t>
  </si>
  <si>
    <t>INNOVENT BIOLOGICS SINGAPORE CO LTD</t>
  </si>
  <si>
    <t>INNOVFUSION PTE LTD</t>
  </si>
  <si>
    <t>INOUE YOHEI</t>
  </si>
  <si>
    <t>INSPIRATE MEDICAL PTE LTD</t>
  </si>
  <si>
    <t>INST OF BIOENGINEERING AND NANOTECHNOLOGY BIOMEDICAL SCIENCES INST</t>
  </si>
  <si>
    <t>INST OF MOLECULAR AND CELL BIOLOGY BIOMEDICAL SCIENCES INSTS</t>
  </si>
  <si>
    <t>INSTITUTE OF MOLECULAR AND CELL BIOLOGY BIOMEDICAL SCIENCES INSTITUTES</t>
  </si>
  <si>
    <t>INTEGRAL TECH S PTE LTD</t>
  </si>
  <si>
    <t>INTRA IMMUSG PRIVATE LTD</t>
  </si>
  <si>
    <t>INTRA IMMUSG PRIVATE LTD SG</t>
  </si>
  <si>
    <t>INVISIRON PTE LTD</t>
  </si>
  <si>
    <t>INZSURE PTE LTD</t>
  </si>
  <si>
    <t>IOTA MEDTECH PTE LTD</t>
  </si>
  <si>
    <t>IPLENA PTE LTD</t>
  </si>
  <si>
    <t>IRON HORSE AI PRIVATE LTD</t>
  </si>
  <si>
    <t>IRON HORSE AL PRIVATE LTD</t>
  </si>
  <si>
    <t>ISHII TOSHIKI</t>
  </si>
  <si>
    <t>ITSEC ANALYTICS PTE LTD</t>
  </si>
  <si>
    <t>Innotech Resources Pte Ltd</t>
  </si>
  <si>
    <t>JATT PTE LTD</t>
  </si>
  <si>
    <t>JAVIS Holdings Pte Ltd</t>
  </si>
  <si>
    <t>JCS Biotech Ptd Ltd</t>
  </si>
  <si>
    <t>JELLICE PIONEER PRIVATE LTD TAIWAN BRANCH SINGAPORE</t>
  </si>
  <si>
    <t>JERRY TAN EYE SURGERY PTE LTD</t>
  </si>
  <si>
    <t>JHA RUPAK KUMAR</t>
  </si>
  <si>
    <t>JIRICEK JAN</t>
  </si>
  <si>
    <t>JJSK R &amp; D PTE LTD</t>
  </si>
  <si>
    <t>JJSK R AND D PTE LTD</t>
  </si>
  <si>
    <t>JJSK R&amp;D Pte Ltd</t>
  </si>
  <si>
    <t>JLWH PTE LTD</t>
  </si>
  <si>
    <t>JN MEDSYS PTE LTD</t>
  </si>
  <si>
    <t>JOHNSON &amp; JOHNSON PTE LTD</t>
  </si>
  <si>
    <t>JOSEPH PALATHINKAL RONY</t>
  </si>
  <si>
    <t>JOTY SHAFIQ RAYHAN</t>
  </si>
  <si>
    <t>JOYINME PTE LTD</t>
  </si>
  <si>
    <t>JTC CORP</t>
  </si>
  <si>
    <t>JUPITER PALACE PTE LTD</t>
  </si>
  <si>
    <t>JURONG TOWN CORP</t>
  </si>
  <si>
    <t>KAEO TECH PTE LTD</t>
  </si>
  <si>
    <t>KAH MENG LIM</t>
  </si>
  <si>
    <t>KAI TAN YI</t>
  </si>
  <si>
    <t>KAISHI PTE LTD</t>
  </si>
  <si>
    <t>KAITHVAS SANJEEV</t>
  </si>
  <si>
    <t>KALE SUMEET</t>
  </si>
  <si>
    <t>KAMON SHOHEI</t>
  </si>
  <si>
    <t>KANG CHEN CHI ANGELINE</t>
  </si>
  <si>
    <t>KANG CONGBAO</t>
  </si>
  <si>
    <t>KANGTI PTE LTD</t>
  </si>
  <si>
    <t>KANZBITAQA PTE LTD</t>
  </si>
  <si>
    <t>KARUNIA SANDY</t>
  </si>
  <si>
    <t>KAWAMURA YUMI</t>
  </si>
  <si>
    <t>KEAT TAN BOON</t>
  </si>
  <si>
    <t>KELLI ZHAO RONG CHAN</t>
  </si>
  <si>
    <t>KENNY CHUA WEI LIANG</t>
  </si>
  <si>
    <t>KEYSIGHT TECH SINGAPORE SALES PTE LTD</t>
  </si>
  <si>
    <t>KHANOLKAR MADHURI JAYANT</t>
  </si>
  <si>
    <t>KHENG TAN YI</t>
  </si>
  <si>
    <t>KIKKOMAN SINGAPORE R&amp;D LABORATORY PTE LTD</t>
  </si>
  <si>
    <t>KIKUCHI KO</t>
  </si>
  <si>
    <t>KIM HWA LIM</t>
  </si>
  <si>
    <t>KIM TACKHOON</t>
  </si>
  <si>
    <t>KISODO PTE LTD</t>
  </si>
  <si>
    <t>KIT YEW CHENG</t>
  </si>
  <si>
    <t>KKT TECH PTE LTD</t>
  </si>
  <si>
    <t>KLASS ENG &amp; SOLUTIONS PTE LTD</t>
  </si>
  <si>
    <t>KNOREX PTE LTD</t>
  </si>
  <si>
    <t>KO IN CEK</t>
  </si>
  <si>
    <t>KOH CHENG GEE</t>
  </si>
  <si>
    <t>KOH HWEE LING</t>
  </si>
  <si>
    <t>KOH LI MIN</t>
  </si>
  <si>
    <t>KOH RICHARD SEOH LENG</t>
  </si>
  <si>
    <t>KOURA DRAVID</t>
  </si>
  <si>
    <t>KRONIKARE PTE LTD</t>
  </si>
  <si>
    <t>KRU ENERGY ASIA PTE LTD</t>
  </si>
  <si>
    <t>KULPATI ASHISH</t>
  </si>
  <si>
    <t>KUM STEVEN</t>
  </si>
  <si>
    <t>KUM WEI CHEONG STEVEN</t>
  </si>
  <si>
    <t>KUMAR SANDEEP</t>
  </si>
  <si>
    <t>KURVE AUTOMATION PTE LTD</t>
  </si>
  <si>
    <t>KWOK RICHARD SIONG SEN</t>
  </si>
  <si>
    <t>Kumar jSandeep</t>
  </si>
  <si>
    <t>LAHIRI AMITABHA</t>
  </si>
  <si>
    <t>LAI HUAT GOI</t>
  </si>
  <si>
    <t>LAI SOAK KUAN</t>
  </si>
  <si>
    <t>LAM BRENDA WAN SHING</t>
  </si>
  <si>
    <t>LAM TZE HAU</t>
  </si>
  <si>
    <t>LAMBDAGEN PTE LTD</t>
  </si>
  <si>
    <t>LANE DAVID P</t>
  </si>
  <si>
    <t>LANE SANDEEP KUMAR</t>
  </si>
  <si>
    <t>LAU CHIN CHEUNG ANDREW</t>
  </si>
  <si>
    <t>LAW ANGWEI</t>
  </si>
  <si>
    <t>LEAN STATION PTE LTD</t>
  </si>
  <si>
    <t>LEE BENG HAI</t>
  </si>
  <si>
    <t>LEE DEAN ZI YANG</t>
  </si>
  <si>
    <t>LEE LUKE P</t>
  </si>
  <si>
    <t>LEE MARTIN CHANG SHOU</t>
  </si>
  <si>
    <t>LEE YING</t>
  </si>
  <si>
    <t>LEEWARD PACIFIC PTE LTD</t>
  </si>
  <si>
    <t>LEICA INSTR SINGAPORE 84 PTE LTD</t>
  </si>
  <si>
    <t>LENDDO PTE LTD</t>
  </si>
  <si>
    <t>LENOVO ( SINGAPORE) PTE LTD</t>
  </si>
  <si>
    <t>LENOVO SINGAPORE LTD</t>
  </si>
  <si>
    <t>LEONG MENG FATT</t>
  </si>
  <si>
    <t>LEONG SEH YONG</t>
  </si>
  <si>
    <t>LI BINGBING</t>
  </si>
  <si>
    <t>LI HOI YEUNG</t>
  </si>
  <si>
    <t>LI HUIQI</t>
  </si>
  <si>
    <t>LI JIANMIN</t>
  </si>
  <si>
    <t>LIAN WANG</t>
  </si>
  <si>
    <t>LIAN WEI HUAN</t>
  </si>
  <si>
    <t>LIANG CHIEH WEE</t>
  </si>
  <si>
    <t>LIANG ZIYANG</t>
  </si>
  <si>
    <t>LIBIAO ROBOTICS HOLDINGS PTE LTD</t>
  </si>
  <si>
    <t>LIECHO ADVANCED MAT PTE LTD</t>
  </si>
  <si>
    <t>LIFE TECH HOLDING PTE LTD</t>
  </si>
  <si>
    <t>LIGERA RES PTE LTD</t>
  </si>
  <si>
    <t>LIM CHEE SENG KEITH</t>
  </si>
  <si>
    <t>LIM GUAN LENG</t>
  </si>
  <si>
    <t>LIM JING WEN</t>
  </si>
  <si>
    <t>LIM JOO HWEE</t>
  </si>
  <si>
    <t>LIM KEVIN</t>
  </si>
  <si>
    <t>LIM KIAN YONG</t>
  </si>
  <si>
    <t>LIM SAI KIANG</t>
  </si>
  <si>
    <t>LIM SUSAN M L</t>
  </si>
  <si>
    <t>LIM YE JU</t>
  </si>
  <si>
    <t>LINXENS SINGAPORE PTE LTD</t>
  </si>
  <si>
    <t>LION TCR</t>
  </si>
  <si>
    <t>LIONSBOT INT PTE LTD</t>
  </si>
  <si>
    <t>LIQUID GROUP PTE LTD</t>
  </si>
  <si>
    <t>LITTLE BIT PTE LTD</t>
  </si>
  <si>
    <t>LIU CHANG</t>
  </si>
  <si>
    <t>LIU JIANG</t>
  </si>
  <si>
    <t>LIU JIQUAN</t>
  </si>
  <si>
    <t>LIU WEILONG</t>
  </si>
  <si>
    <t>LIU XIAOHUI</t>
  </si>
  <si>
    <t>LIU ZENGPING</t>
  </si>
  <si>
    <t>LIVIUS PTE LTD</t>
  </si>
  <si>
    <t>LOH XIAN JUN</t>
  </si>
  <si>
    <t>LOKE KAR KIT BERNARD</t>
  </si>
  <si>
    <t>LOMANTO DAVIDE</t>
  </si>
  <si>
    <t>LOMOTIF PRIVATE LTD</t>
  </si>
  <si>
    <t>LONDOBELL LABS PTE LTD</t>
  </si>
  <si>
    <t>LONG QIONGZHEN</t>
  </si>
  <si>
    <t>LONGRUNN MEDICAL FOOD PTE LTD</t>
  </si>
  <si>
    <t>LONGTERM CONCEPT INT PTE LTD</t>
  </si>
  <si>
    <t>LOYALTY ADVANTAGE PTE LTD</t>
  </si>
  <si>
    <t>LU HAO</t>
  </si>
  <si>
    <t>LU TIMOTHY</t>
  </si>
  <si>
    <t>LU ZIYUE</t>
  </si>
  <si>
    <t>LUM WAH LEONG</t>
  </si>
  <si>
    <t>LUMINICELL PTE LTD</t>
  </si>
  <si>
    <t>LUO YUN</t>
  </si>
  <si>
    <t>LYE ELIAS</t>
  </si>
  <si>
    <t>LYNX ANALYTICS PTE LTD</t>
  </si>
  <si>
    <t>LYNXEMI PRIVATE LTD</t>
  </si>
  <si>
    <t>LYNXEMI PTE LTD</t>
  </si>
  <si>
    <t>LYTE VENTURES PTE LTD</t>
  </si>
  <si>
    <t>LYVES HATCHER PTE LTD</t>
  </si>
  <si>
    <t>Lim Ream</t>
  </si>
  <si>
    <t>Liu zhen yun</t>
  </si>
  <si>
    <t>Lucas Andrew Riaz</t>
  </si>
  <si>
    <t>Lucas David Kalim</t>
  </si>
  <si>
    <t>M LEAGUE LTD</t>
  </si>
  <si>
    <t>M-DAQ PTE LTD</t>
  </si>
  <si>
    <t>MACHI KOJI</t>
  </si>
  <si>
    <t>MACHNET SG PTE LTD</t>
  </si>
  <si>
    <t>MAD TECH FOUNDATION LTD</t>
  </si>
  <si>
    <t>MAGNEXT LIFE SCIENCE PTE LTD</t>
  </si>
  <si>
    <t>MAMAME WHOLE FOODS PTE LTD</t>
  </si>
  <si>
    <t>MANI BASKARAN</t>
  </si>
  <si>
    <t>MANJALINK PTE LTD</t>
  </si>
  <si>
    <t>MANJUNATHA ARCHANA</t>
  </si>
  <si>
    <t>MANN HUMMEL LIFE SCIENCE &amp; ENV HOLDING SINGAPORE PTE LTD</t>
  </si>
  <si>
    <t>MAP PLASTICS PTE LTD</t>
  </si>
  <si>
    <t>MARTIN RAINER GABRIEL SCHWEIGER</t>
  </si>
  <si>
    <t>MASSACHUSETTS INST TECHNOLOGY</t>
  </si>
  <si>
    <t>MASTERCARD AISA/PACIFIC PTE LTD</t>
  </si>
  <si>
    <t>MATERCARD ASIA/PACIFIC PTE LTD</t>
  </si>
  <si>
    <t>MATTHIAS SAPUAN</t>
  </si>
  <si>
    <t>MCLINICA PTE LTD</t>
  </si>
  <si>
    <t>MDESIGN SOLUTIONS PTE LTD</t>
  </si>
  <si>
    <t>MEDHA DHARMATILLEKE</t>
  </si>
  <si>
    <t>MEDIUM ACCESS SYSTEMS PRIVATE LTD</t>
  </si>
  <si>
    <t>MEDTECH COATING TECH PTE LTD</t>
  </si>
  <si>
    <t>MEIBAN GROUP PTE LTD</t>
  </si>
  <si>
    <t>MEMSIFT INNOVATIONS PTE LTD</t>
  </si>
  <si>
    <t>MENARINI BIOMARKERS SINGAPORE PTE LTD</t>
  </si>
  <si>
    <t>MENTORICA TECH PTE LTD</t>
  </si>
  <si>
    <t>MENTORICA TECHNOLOGY PTE LTD</t>
  </si>
  <si>
    <t>MESH BIO PTE LTD</t>
  </si>
  <si>
    <t>METAGENOM BIO HOLDINGS PTE LTD</t>
  </si>
  <si>
    <t>METAMATIKS PTE LTD</t>
  </si>
  <si>
    <t>METAVERSE GREEN EXCHANGE PTE LTD</t>
  </si>
  <si>
    <t>MHC MEDICAL NETWORK PTE LTD</t>
  </si>
  <si>
    <t>MICROPOINT TECH PTE LTD</t>
  </si>
  <si>
    <t>MICROSFERE PTE LTD</t>
  </si>
  <si>
    <t>MICROTUBE TECH PTE LTD</t>
  </si>
  <si>
    <t>MIGHTY JAXX INT PTE LTD</t>
  </si>
  <si>
    <t>MILLENNIUM ENTPR PTE LTD</t>
  </si>
  <si>
    <t>MINDBCI PTE LTD</t>
  </si>
  <si>
    <t>MIRACLE MAN PTE LTD</t>
  </si>
  <si>
    <t>MITROL BIOLOGIC PTE LTD</t>
  </si>
  <si>
    <t>MITROL TECH PTE LTD</t>
  </si>
  <si>
    <t>MITSUI CHEMICALS INC</t>
  </si>
  <si>
    <t>MOBIAIR PTE LTD</t>
  </si>
  <si>
    <t>MOBILE HEALTH PTE LTD</t>
  </si>
  <si>
    <t>MODI VIKRAM</t>
  </si>
  <si>
    <t>MONANGE JOHANNA</t>
  </si>
  <si>
    <t>MOZARK PTE LTD</t>
  </si>
  <si>
    <t>MPLUS MEDICAL DEVICE CORP PTE LTD</t>
  </si>
  <si>
    <t>MSC CONSULTING (S) PTE LTD</t>
  </si>
  <si>
    <t>MSC CONSULTING S PTE LTD</t>
  </si>
  <si>
    <t>MSM Holdings Pte Ltd</t>
  </si>
  <si>
    <t>MY SCENT PTE LTD</t>
  </si>
  <si>
    <t>MYCOTECH PTE LTD</t>
  </si>
  <si>
    <t>MYRO INT PTE LTD</t>
  </si>
  <si>
    <t>MYRO INTERNATIONAL PTE LTD</t>
  </si>
  <si>
    <t>Maurilio Di Cicco</t>
  </si>
  <si>
    <t>Meridian Innovation Pte Ltd</t>
  </si>
  <si>
    <t>Mulawadi Fabi</t>
  </si>
  <si>
    <t>MyDoc Pte Ltd</t>
  </si>
  <si>
    <t>NAIR Syam Sasidharan</t>
  </si>
  <si>
    <t>NAMIKI PREC SINGAPORE PTE LTD</t>
  </si>
  <si>
    <t>NAMZ PTE LTD</t>
  </si>
  <si>
    <t>NANOCLEAN S PTE LTD</t>
  </si>
  <si>
    <t>NANY ANG TECHNOLOGICAL UNIV</t>
  </si>
  <si>
    <t>NANYANG BIOLOGICS PTE LTD</t>
  </si>
  <si>
    <t>NANYANG TECHNOLOGICAL UNIVERSITY SINGAPORE</t>
  </si>
  <si>
    <t>NANYANG TECHNOLOGIES UNIV</t>
  </si>
  <si>
    <t>NANYANG TECHNOLOGY UNIV</t>
  </si>
  <si>
    <t>NANYANG TECHNOLOGYICAL UNIV</t>
  </si>
  <si>
    <t>NANYANG TEHNOLOGICAL UNIV</t>
  </si>
  <si>
    <t>NASOTRAK MEDICAL PTE LTD</t>
  </si>
  <si>
    <t>NAT CANCER CT OF SINGAPORE PTE LTD</t>
  </si>
  <si>
    <t>NAT HEART CENTRE SINGAPORE</t>
  </si>
  <si>
    <t>NAT HEART CENTRE SINGAPORE PTE LTD</t>
  </si>
  <si>
    <t>NAT SKIN CENTER (S) PTE LTD</t>
  </si>
  <si>
    <t>NAT SKIN CENTER S PTE LTD</t>
  </si>
  <si>
    <t>NAT SKIN CENTRE S PTE LTD</t>
  </si>
  <si>
    <t>NAT SKIN CT S PTE LTD</t>
  </si>
  <si>
    <t>NAT UNIV OF SINGPORE</t>
  </si>
  <si>
    <t>NAT UNIVERESITY OF SINGAPORE</t>
  </si>
  <si>
    <t>NAT UNIVERSITY HOSPITAL S PTE LTD</t>
  </si>
  <si>
    <t>NATARAJAN KRISHNAMURTHY</t>
  </si>
  <si>
    <t>NATION UNIV HOSPITAL SINGAPORE PTE LTD</t>
  </si>
  <si>
    <t>NATIONAL UNIV HEALTH SYSTEM PTE LTD</t>
  </si>
  <si>
    <t>NATIONAL UNIV HOSPITAL S PTE</t>
  </si>
  <si>
    <t>NATIONAL UNIV HOSPITAL SINGAPORE PTL LTD</t>
  </si>
  <si>
    <t>NATIONAL UNIV OF SINGAPO</t>
  </si>
  <si>
    <t>NATIONAL UNIV OF SINGAPORE NUS</t>
  </si>
  <si>
    <t>NATURAL TRACE PTE LTD</t>
  </si>
  <si>
    <t>NAVAD LIFE SCIENCES PTE LTD</t>
  </si>
  <si>
    <t>NAVEEN PETER</t>
  </si>
  <si>
    <t>NCODE CONSULTANT PTE LTD</t>
  </si>
  <si>
    <t>NDR MEDICAL TECH PRIVATE LIMITED</t>
  </si>
  <si>
    <t>NDR MEDICAL TECHNOLOGY PTE LTD</t>
  </si>
  <si>
    <t>NEC APAC PTE LTD</t>
  </si>
  <si>
    <t>NEPHTECH PTE LTD</t>
  </si>
  <si>
    <t>NERVOTEC PTE LTD</t>
  </si>
  <si>
    <t>NEUOME PEPTIDES PTE LTD</t>
  </si>
  <si>
    <t>NEUROGLEE SCIENCE PTE LTD</t>
  </si>
  <si>
    <t>NEUROGLEE THERAPEUTICS PTE LTD</t>
  </si>
  <si>
    <t>NEWMAN STEPHEN D</t>
  </si>
  <si>
    <t>NEXTAN PTE LTD</t>
  </si>
  <si>
    <t>NEXTKIDNEY SG PTE LTD</t>
  </si>
  <si>
    <t>NEXTSMARTY HOLDINGS PTE LTD</t>
  </si>
  <si>
    <t>NG JIAN LENG</t>
  </si>
  <si>
    <t>NG YUE LING</t>
  </si>
  <si>
    <t>NICAE SINGAPORE PTE LTD</t>
  </si>
  <si>
    <t>NIRANTAR SAURABH</t>
  </si>
  <si>
    <t>NISBAN CHELSEA</t>
  </si>
  <si>
    <t>NITTO DENKO ASIA TECHNICAL CENTRE PTE LTD</t>
  </si>
  <si>
    <t>NOE HSU MYAT</t>
  </si>
  <si>
    <t>NOMADD DESERT SOLAR SOLUTIONS PTE</t>
  </si>
  <si>
    <t>NOOGGI PTE LTD</t>
  </si>
  <si>
    <t>NSP TECH PTE LTD</t>
  </si>
  <si>
    <t>NU LIFE CONSULTING PTE LTD</t>
  </si>
  <si>
    <t>NUEVOCOR PTE LTD</t>
  </si>
  <si>
    <t>NUGRAN BIOTECH PTE LTD</t>
  </si>
  <si>
    <t>NUMONI PTE LTD</t>
  </si>
  <si>
    <t>NUSMETICS PTE LTD</t>
  </si>
  <si>
    <t>NUTRITION SCIENCE DESIGN PTE LTD</t>
  </si>
  <si>
    <t>Nalagenetics Pte Ltd</t>
  </si>
  <si>
    <t>Navad Life Sciences Pte</t>
  </si>
  <si>
    <t>Neerkoli Pte Ltd</t>
  </si>
  <si>
    <t>Next Opus Ventures LLP</t>
  </si>
  <si>
    <t>OCCUTRACK MEDICAL SOLUTIONS PTE LTD</t>
  </si>
  <si>
    <t>OCUVIX PTE LTD</t>
  </si>
  <si>
    <t>ONEEMPOWER PTE LTD</t>
  </si>
  <si>
    <t>ONG CHOON KIAT</t>
  </si>
  <si>
    <t>ONG SEOW THENG</t>
  </si>
  <si>
    <t>ONG TOON WAH ROLAND</t>
  </si>
  <si>
    <t>OPEN4SALE INT PTE LTD</t>
  </si>
  <si>
    <t>OPSIS PTE LTD</t>
  </si>
  <si>
    <t>OPTIMAX MAN SERVICES PTE LTD</t>
  </si>
  <si>
    <t>OPTIONNALYTICS PTE LTD</t>
  </si>
  <si>
    <t>OR TAI LUNG BURNNET</t>
  </si>
  <si>
    <t>ORAICHAIN PTE LTD</t>
  </si>
  <si>
    <t>OREMI AI PRIVATE LTD</t>
  </si>
  <si>
    <t>ORGANIZATIONAL STRATEGIES INT PTE LTD</t>
  </si>
  <si>
    <t>ORICA INT PTE LTD</t>
  </si>
  <si>
    <t>ORIENT G PTE LTD</t>
  </si>
  <si>
    <t>ORSINI GRAVINA LIVIO</t>
  </si>
  <si>
    <t>ORTHOVISION PTE LTD</t>
  </si>
  <si>
    <t>OSBORN JAMIE</t>
  </si>
  <si>
    <t>OSLABB PTE LTD</t>
  </si>
  <si>
    <t>OSTEOPORE INT PTE LTD</t>
  </si>
  <si>
    <t>OTSAW DIGITAL PTE LTD</t>
  </si>
  <si>
    <t>OXION PTE LTD</t>
  </si>
  <si>
    <t>OZAKI MIWAKO</t>
  </si>
  <si>
    <t>PADMANABHAN VISHWANATH</t>
  </si>
  <si>
    <t>PALEXY PTE LTD</t>
  </si>
  <si>
    <t>PANENGAD PRADEEP PAUL</t>
  </si>
  <si>
    <t>PANGAM BALKRISHNA DINESH</t>
  </si>
  <si>
    <t>PANTHERA LABS PTE LTD</t>
  </si>
  <si>
    <t>PARALLELCHAIN LAB PRIVATE LTD</t>
  </si>
  <si>
    <t>PATEL BHARATKUMAR</t>
  </si>
  <si>
    <t>PATHNOVA LABORATORIES PTE LTD</t>
  </si>
  <si>
    <t>PATIL AJIT VILASRAO</t>
  </si>
  <si>
    <t>PAUL JEYASINGHAM EDWARDS</t>
  </si>
  <si>
    <t>PAYWATCH GLOBAL PTE LTD</t>
  </si>
  <si>
    <t>PCCW VUCLIP (SINGAPORE) PTE LTD</t>
  </si>
  <si>
    <t>PEACH INTELLIHEALTH PTE LTD</t>
  </si>
  <si>
    <t>PEARCE CHRISTOPHER JON</t>
  </si>
  <si>
    <t>PEH WEI YAN</t>
  </si>
  <si>
    <t>PENCIL TECH PTE LTD</t>
  </si>
  <si>
    <t>PENG CHENG ADVERSORY &amp; CONSULTANCY SINGAPORE PTE LTD</t>
  </si>
  <si>
    <t>PERFECT NATURE PTE LTD</t>
  </si>
  <si>
    <t>PERUMAL NEMALIN THARUSHEN</t>
  </si>
  <si>
    <t>PETER NAVEEN</t>
  </si>
  <si>
    <t>PHAM BAO</t>
  </si>
  <si>
    <t>PHAM TUAN THACH</t>
  </si>
  <si>
    <t>PHARWAR BIOTECHNOLOGY INC PTE LTD</t>
  </si>
  <si>
    <t>PHARWARD BIOTECHNOLOGY INC PTE LTD</t>
  </si>
  <si>
    <t>PHOENIX MOLECULAR PTE LTD</t>
  </si>
  <si>
    <t>PHOSKA BIOPHARMA PTE LTD</t>
  </si>
  <si>
    <t>PHYX44 PTE LTD</t>
  </si>
  <si>
    <t>PIPER JASON</t>
  </si>
  <si>
    <t>PLANEAT FOODS PTE LTD</t>
  </si>
  <si>
    <t>PNG KIM</t>
  </si>
  <si>
    <t>POH BENSON</t>
  </si>
  <si>
    <t>POINTED BIOTECH PTE LTD</t>
  </si>
  <si>
    <t>POWER OF PLATELETS PTE LTD</t>
  </si>
  <si>
    <t>PREC MEDICAL PTE LTD</t>
  </si>
  <si>
    <t>PRESTIGE BIOPHARMA LTD</t>
  </si>
  <si>
    <t>PRIMEDENT PTE LTD</t>
  </si>
  <si>
    <t>PRIVITI PTE LTD</t>
  </si>
  <si>
    <t>PROFILEPRINT PTE LTD</t>
  </si>
  <si>
    <t>PROVIDEND LTD</t>
  </si>
  <si>
    <t>PROXIMA BETA PTE LTD</t>
  </si>
  <si>
    <t>PRUSOTHMAN M SINA RAJA</t>
  </si>
  <si>
    <t>PSA INT PTE LTD</t>
  </si>
  <si>
    <t>PSLOVE PTE LTD</t>
  </si>
  <si>
    <t>PTS TECH PTE LIMITED</t>
  </si>
  <si>
    <t>PTS TECH PTE LTD</t>
  </si>
  <si>
    <t>PUMPABLES PTE LTD</t>
  </si>
  <si>
    <t>PWK HOLDINGS PTE LTD</t>
  </si>
  <si>
    <t>PYROBETT PTE LTD</t>
  </si>
  <si>
    <t>PreciX Pte Ltd</t>
  </si>
  <si>
    <t>Q &amp; M DENTAL GROUP SINGAPORE LTD</t>
  </si>
  <si>
    <t>QI TAN</t>
  </si>
  <si>
    <t>QIN BAOXING</t>
  </si>
  <si>
    <t>QUANTELA PTE LTD</t>
  </si>
  <si>
    <t>QUANTUMTX PTE LTD</t>
  </si>
  <si>
    <t>QUESTOR CAPITAL HOLDINGS LTD</t>
  </si>
  <si>
    <t>QUINTECH LIFESCIENCES PTE LTD</t>
  </si>
  <si>
    <t>QoreNext Pte Ltd</t>
  </si>
  <si>
    <t>R K TECHNOLOGY &amp; INVEST PTE LTD</t>
  </si>
  <si>
    <t>RACER TECHNOLOGY PTE LTD</t>
  </si>
  <si>
    <t>RAGUPATHIRAJ MOHANRAJ</t>
  </si>
  <si>
    <t>RAGUPATHIRAJ NANDHINIDEVI</t>
  </si>
  <si>
    <t>RAJURKAR PANKAJ</t>
  </si>
  <si>
    <t>RAJWANI BHAVESH</t>
  </si>
  <si>
    <t>RAM LIFTING TECH PTE LTD</t>
  </si>
  <si>
    <t>RAM SMAG LIFTING TECH PTE LTD</t>
  </si>
  <si>
    <t>RAM THZ SOLUTIONS PTE LTD</t>
  </si>
  <si>
    <t>RASEKHY PAYMON</t>
  </si>
  <si>
    <t>RAVI KAVITHA</t>
  </si>
  <si>
    <t>RAVINDRAN vivek</t>
  </si>
  <si>
    <t>RAZ R ASIA PACIFIC PTE LTD</t>
  </si>
  <si>
    <t>REA GENETICS PTE LTD</t>
  </si>
  <si>
    <t>REAL ESTATE ANALYTICS PTE LTD</t>
  </si>
  <si>
    <t>RED DOT PAYMENT PTE LTD</t>
  </si>
  <si>
    <t>RENGARAJAN LAVANYA</t>
  </si>
  <si>
    <t>REVERSEADS PTE LTD</t>
  </si>
  <si>
    <t>REXADVANCE TECH PTE LTD</t>
  </si>
  <si>
    <t>RGE SMART PTE LTD</t>
  </si>
  <si>
    <t>RICHARD KOH SEOH LENG</t>
  </si>
  <si>
    <t>RIDY PTE LTD</t>
  </si>
  <si>
    <t>RIGEL TECH S PTE LTD</t>
  </si>
  <si>
    <t>RIGHT HAND CYBER SECURITY PTE LTD</t>
  </si>
  <si>
    <t>RIGHT POSTURE PTE LTD</t>
  </si>
  <si>
    <t>RIVIA RES PTE LTD</t>
  </si>
  <si>
    <t>RKS GLOBAL PTE LTD</t>
  </si>
  <si>
    <t>ROBOGENIX MEDICAL SINGAPORE PTE LTD</t>
  </si>
  <si>
    <t>ROCESO TECH PRIVATE LIMITED</t>
  </si>
  <si>
    <t>ROCK &amp; HERB PTE LTD</t>
  </si>
  <si>
    <t>ROCKWELL AUTOMATION ASIA PACIFIC BUSINESS CENTER PTE LTD</t>
  </si>
  <si>
    <t>ROKKO SYSTEMS PTE LTD</t>
  </si>
  <si>
    <t>ROLLING PASTURES PTE LTD</t>
  </si>
  <si>
    <t>RONALD CRAIG WIGHT</t>
  </si>
  <si>
    <t>ROSS DIGITAL PTD LTD</t>
  </si>
  <si>
    <t>RUBLIX DEV PTE LTD</t>
  </si>
  <si>
    <t>RUNGTA ADITI</t>
  </si>
  <si>
    <t>Radic8 PTE LTD</t>
  </si>
  <si>
    <t>Richards Health Group Pte Ltd</t>
  </si>
  <si>
    <t>Rony Joseph Palathinkal</t>
  </si>
  <si>
    <t>SAFEJECT INT PTE LTD</t>
  </si>
  <si>
    <t>SAFEWALLET PTE LTD</t>
  </si>
  <si>
    <t>SALTMINE PTE LTD</t>
  </si>
  <si>
    <t>SANG CHU YONG</t>
  </si>
  <si>
    <t>SAPUAN MATTHIAS</t>
  </si>
  <si>
    <t>SARKAR TIRTHA MAULI</t>
  </si>
  <si>
    <t>SCHAEFER SEBASTIAN</t>
  </si>
  <si>
    <t>SCHMIDT FLORIAN</t>
  </si>
  <si>
    <t>SCHNEIDER ELECTRIC ASIA PTE LTD</t>
  </si>
  <si>
    <t>SCHULZE ERIC</t>
  </si>
  <si>
    <t>SCHULZE JOHN E</t>
  </si>
  <si>
    <t>SCHWEIGER MARTIN RAINER GABRIEL</t>
  </si>
  <si>
    <t>SCI WAVE PTE LTD</t>
  </si>
  <si>
    <t>SECQURE SURGICAL PTE LTD</t>
  </si>
  <si>
    <t>SEE JARRICK</t>
  </si>
  <si>
    <t>SEE MODE TECH PTE LTD</t>
  </si>
  <si>
    <t>SELF IE ENTERPRISE PRIVATE LTD</t>
  </si>
  <si>
    <t>SELVARENGARAJU MEENA KUMARI</t>
  </si>
  <si>
    <t>SEMBCORP IND LTD</t>
  </si>
  <si>
    <t>SEMBCORP WATERTECH PTE LTD</t>
  </si>
  <si>
    <t>SEMICONDUCTOR TECH &amp; INSTRUMENTS PTE LTD SG</t>
  </si>
  <si>
    <t>SEMICONDUCTOR TECH AND INSTRUMENTS PTE LTD</t>
  </si>
  <si>
    <t>SEMICONDUCTOR TECHNOLOGIES AND INSTR PTE LTD</t>
  </si>
  <si>
    <t>SENESCENCE LIFE SCIENCES PTE LTD</t>
  </si>
  <si>
    <t>SENGENICS CORP PTE LTD</t>
  </si>
  <si>
    <t>SENSERBOT PTE LTD</t>
  </si>
  <si>
    <t>SENSETIME INT PET LTD</t>
  </si>
  <si>
    <t>SENSETIMENTERNATIONAL PTE LTD</t>
  </si>
  <si>
    <t>SERVICES PTE LTD</t>
  </si>
  <si>
    <t>SETIA SAHIL</t>
  </si>
  <si>
    <t>SETYAWAN LEONARDY</t>
  </si>
  <si>
    <t>SEVANTO JARKKO OSKARI</t>
  </si>
  <si>
    <t>SEVENTH SENSE ARTIFICIAL INTELLIGENCE PRIVATE LTD</t>
  </si>
  <si>
    <t>SEVENTH SENSE ARTIFICIAL INTELLIGENCE PVT LTD</t>
  </si>
  <si>
    <t>SG MEDITECH PTE LTD</t>
  </si>
  <si>
    <t>SG MidiTech Pte Ltd</t>
  </si>
  <si>
    <t>SHANKAR SURESH VENUGOPALAN</t>
  </si>
  <si>
    <t>SHANTON PHARMA PTE LTD</t>
  </si>
  <si>
    <t>SHARMA PANKAJ</t>
  </si>
  <si>
    <t>SHARMA PRASHANT</t>
  </si>
  <si>
    <t>SHIOK MEATS PTE LTD</t>
  </si>
  <si>
    <t>SHIRAISHI CALCIUM SINGAPORE PTE LTD</t>
  </si>
  <si>
    <t>SHULZE JOHN</t>
  </si>
  <si>
    <t>SHULZE JOHN E</t>
  </si>
  <si>
    <t>SIEMENS MEDICAL INSTR PTE LTD</t>
  </si>
  <si>
    <t>SIIX AGT MEDTECH PTE LTD</t>
  </si>
  <si>
    <t>SILVER FACTORY TECH PTE LTD</t>
  </si>
  <si>
    <t>SIM WEI LIN SANDRA</t>
  </si>
  <si>
    <t>SIMON OLIVER</t>
  </si>
  <si>
    <t>SIMPHARMA PTE LTD</t>
  </si>
  <si>
    <t>SINA RAJA PRUSOTHMAN M</t>
  </si>
  <si>
    <t>SINGAPORE AIRLINES LTD</t>
  </si>
  <si>
    <t>SINGAPORE EYE RES INST</t>
  </si>
  <si>
    <t>SINGAPORE EYE RES INSTITUTE</t>
  </si>
  <si>
    <t>SINGAPORE GENERAL HOSPITAL</t>
  </si>
  <si>
    <t>SINGAPORE GREEN CHEMICAL ENG PTE LTD</t>
  </si>
  <si>
    <t>SINGAPORE HEALTH SERVCIES PTE LTD</t>
  </si>
  <si>
    <t>SINGAPORE HEALTH SERVICES PTD LTD</t>
  </si>
  <si>
    <t>SINGAPORE HEALTH SERVICES PTE</t>
  </si>
  <si>
    <t>SINGAPORE HEALTH SERVICES PTEL LTD</t>
  </si>
  <si>
    <t>SINGAPORE HEALTH SERVICES PTELTD</t>
  </si>
  <si>
    <t>SINGAPORE INNOVATE PTE LTD</t>
  </si>
  <si>
    <t>SINGAPORE INST FOR CLINICAL SCIENCES A STAR</t>
  </si>
  <si>
    <t>SINGAPORE INST FOR CLINICAL SCIENCES A-STAR</t>
  </si>
  <si>
    <t>SINGAPORE INST FOR CLINICAL SCIENCES BIOMEDICAL SCIENCES INSTS</t>
  </si>
  <si>
    <t>SINGAPORE MAN UNIV</t>
  </si>
  <si>
    <t>SINGAPORE MEDSENSE TECH PTE LTD</t>
  </si>
  <si>
    <t>SINGAPORE MINISTRY OF HEALTH OFFICE FOR HEALTHCARE TRANSF</t>
  </si>
  <si>
    <t>SINGAPORE MINISTRY OF HEALTH OFFICE OF HEALTHCARE TRANSF</t>
  </si>
  <si>
    <t>SINGAPORE MINISTRY OF HEATH OFFICE FOR HEALTHCARE TRANSF</t>
  </si>
  <si>
    <t>SINGAPORE NAT EYE CENTER PTE LTD</t>
  </si>
  <si>
    <t>SINGAPORE NAT EYE CENTRE PTE LTD</t>
  </si>
  <si>
    <t>SINGAPORE PREC INDUSTRIES PTE LTD</t>
  </si>
  <si>
    <t>SINGAPORE PRESS HOLDINGS LTD</t>
  </si>
  <si>
    <t>SINGAPORE TECH ELECTRONICS LIMITED</t>
  </si>
  <si>
    <t>SINGAPORE TELECOMM LTD</t>
  </si>
  <si>
    <t>SINGAPORE UNIV OF TECHNOLOGY &amp; DESIGN</t>
  </si>
  <si>
    <t>SINGAPORE ZE&amp;Z INTERNAT PTE LTD</t>
  </si>
  <si>
    <t>SINGAPORE ZE&amp;ZINTERNATIONAL PTE LTD</t>
  </si>
  <si>
    <t>SINGH BRIJESH KUMAR</t>
  </si>
  <si>
    <t>SINGHAI PRANJUL</t>
  </si>
  <si>
    <t>SINGHEALTH SERVICES PTE LTD</t>
  </si>
  <si>
    <t>SINGPILOT PTE LTD</t>
  </si>
  <si>
    <t>SINGTEL CYBER SECURITY SINGAPORE PTE LTD</t>
  </si>
  <si>
    <t>SINHA SANJAY KUMAR</t>
  </si>
  <si>
    <t>SINOPSEE THERAPEUTICS</t>
  </si>
  <si>
    <t>SIRIONLABS PTE LTD</t>
  </si>
  <si>
    <t>SIT NORMA</t>
  </si>
  <si>
    <t>SIVALENKA VIJAYASARADHI</t>
  </si>
  <si>
    <t>SIX CAPITAL PTE LTD</t>
  </si>
  <si>
    <t>SIXAN PTE LTD</t>
  </si>
  <si>
    <t>SIXSCAPE COMMUNICATIONS PTE LTD</t>
  </si>
  <si>
    <t>SKAINOM PTE LTD</t>
  </si>
  <si>
    <t>SKIBINSKI DAVID</t>
  </si>
  <si>
    <t>SKYWORKS GLOBAL PTE LTD</t>
  </si>
  <si>
    <t>SLEDGER FOUND PTE LTD</t>
  </si>
  <si>
    <t>SLIP PAY TECH PTE LTD</t>
  </si>
  <si>
    <t>SMALL BATCH LEARNING PTE LTD</t>
  </si>
  <si>
    <t>SMARTCOMM ELECTRONICS PTE LTD</t>
  </si>
  <si>
    <t>SMARTMISSIMO TECH PTE LTD</t>
  </si>
  <si>
    <t>SMARTRX PTE LTD</t>
  </si>
  <si>
    <t>SMITH &amp; NEPEW ASIA PACIFIC PTE LTD</t>
  </si>
  <si>
    <t>SMITH &amp; NEPHEW ASIA PACIFIC LTD</t>
  </si>
  <si>
    <t>SMITH &amp; NEPHEW ASIA PACIFIC PLE LTD</t>
  </si>
  <si>
    <t>SMITH &amp; NEPHEW ASIA PACIFIC PTE LIIMITED</t>
  </si>
  <si>
    <t>SMITH &amp; NEPHEW ASIA PACIFIC PTE LIMTTED</t>
  </si>
  <si>
    <t>SMITH &amp; NEPHEW ASIAN PACIFIC PTE LTD</t>
  </si>
  <si>
    <t>SMITH &amp; NEPHEW PTD LTD</t>
  </si>
  <si>
    <t>SMITH &amp; NEPHEW PTE LTD SMITH</t>
  </si>
  <si>
    <t>SMITH NEPHEW ASIA PACIFIC PTE LTD</t>
  </si>
  <si>
    <t>SMITH PAUL WILLIAM</t>
  </si>
  <si>
    <t>SMITH&amp;NEPHEW PTE LTD</t>
  </si>
  <si>
    <t>SNITH &amp; NEPHEW ASIA PACIFIC PTE LTD</t>
  </si>
  <si>
    <t>SOH BOON PING</t>
  </si>
  <si>
    <t>SOH BOON-PING</t>
  </si>
  <si>
    <t>SOL X PTE LTD</t>
  </si>
  <si>
    <t>SOLUBOTS PTE LTD</t>
  </si>
  <si>
    <t>SOMNETICS GLOBAL PTE LTD</t>
  </si>
  <si>
    <t>SONE HIROKI</t>
  </si>
  <si>
    <t>SOPHIE?S BIONUTRIENTS PTE LTD</t>
  </si>
  <si>
    <t>SOSALE BHARGAV</t>
  </si>
  <si>
    <t>SP POWERASSETS LTD</t>
  </si>
  <si>
    <t>SPACEBRAINZ PRIVATE LTD</t>
  </si>
  <si>
    <t>SPAYCE ASIA PTE LTD</t>
  </si>
  <si>
    <t>SPAYCEASIA PTE LTD</t>
  </si>
  <si>
    <t>SPECTRUMEDICS INT PTE LTD</t>
  </si>
  <si>
    <t>SPOROGENICS PTE LTD</t>
  </si>
  <si>
    <t>ST ELECTRONICS (TRAINING &amp; SIMULATION SYSTEMS) PTE LTD</t>
  </si>
  <si>
    <t>ST ELECTRONICS TRAINING &amp; SIMULATION SYSTEMS PTE LTD</t>
  </si>
  <si>
    <t>ST ENG ELECTRONICS LTD</t>
  </si>
  <si>
    <t>ST ENG INNOSPARKS PTE LTD</t>
  </si>
  <si>
    <t>ST ENG LAND SYSTEMS LTD</t>
  </si>
  <si>
    <t>ST ENG URBAN SOLUTIONS LTD</t>
  </si>
  <si>
    <t>ST ENGINEERING ADVANCED MAT ENGINEERING PTE LTD</t>
  </si>
  <si>
    <t>ST MICROELECTRONICS ASIA PACIFIC PTE LTD</t>
  </si>
  <si>
    <t>ST MICROELECTRONICS PTE LTD</t>
  </si>
  <si>
    <t>STARSHOT PTE LTD</t>
  </si>
  <si>
    <t>STEMCELL ESSENTIALS PTE LTD</t>
  </si>
  <si>
    <t>STEP SURGICAL PTE LTD</t>
  </si>
  <si>
    <t>STEPHEN D NEWMAN</t>
  </si>
  <si>
    <t>STERLING IP PTE LTD</t>
  </si>
  <si>
    <t>STF LABS PTE LTD</t>
  </si>
  <si>
    <t>STR8BAT SPORTS TECH SOLUTIONS PTE LTD</t>
  </si>
  <si>
    <t>STRAITDEER PTE LTD</t>
  </si>
  <si>
    <t>SU XINYI</t>
  </si>
  <si>
    <t>SUI JIANJUN</t>
  </si>
  <si>
    <t>SUMITOMO SEIKA SINGAPORE PTE LTD</t>
  </si>
  <si>
    <t>SUN ELECTRIC PTE LTD</t>
  </si>
  <si>
    <t>SUN MIAO</t>
  </si>
  <si>
    <t>SUN MOBILITY PTE LTD</t>
  </si>
  <si>
    <t>SUN SINGAPORE SYSTEMS PTE LTD</t>
  </si>
  <si>
    <t>SUN VASAN ABE</t>
  </si>
  <si>
    <t>SUNTORY BEVERAGE &amp; FOOD ASIA PTE LTD</t>
  </si>
  <si>
    <t>SUNTORY BEVERAGE AND FOOD ASIA PTE LTD</t>
  </si>
  <si>
    <t>SUPERSYMMETRY PTE LTD</t>
  </si>
  <si>
    <t>SUPPORT PTE LTD I</t>
  </si>
  <si>
    <t>SUPREME QI PTE LTD</t>
  </si>
  <si>
    <t>SURBANA JURONG PRIVATE LTD</t>
  </si>
  <si>
    <t>SURBANA JURONG PTE LTD</t>
  </si>
  <si>
    <t>SURECLEAN PTE LTD</t>
  </si>
  <si>
    <t>SURESH SUBRA</t>
  </si>
  <si>
    <t>SYNPHNE PTE LTD</t>
  </si>
  <si>
    <t>Sano V Ptd Ltd</t>
  </si>
  <si>
    <t>Sigenic Pte Ltd</t>
  </si>
  <si>
    <t>Silanna UV Technologies Pte Ltd</t>
  </si>
  <si>
    <t>Silva Zolezzi lrma</t>
  </si>
  <si>
    <t>Simpple Pte Ltd</t>
  </si>
  <si>
    <t>Singular Health Pte Ltd</t>
  </si>
  <si>
    <t>Sundararajan Anandan Ethirkottai</t>
  </si>
  <si>
    <t>TAASCOM INC</t>
  </si>
  <si>
    <t>TAM JAMES P</t>
  </si>
  <si>
    <t>TAN BOON OOI PATRICK</t>
  </si>
  <si>
    <t>TAN CHIEH SUAI</t>
  </si>
  <si>
    <t>TAN HIANG KHOON</t>
  </si>
  <si>
    <t>TAN JOCELYN LIYING</t>
  </si>
  <si>
    <t>TAN KIM SONG MICHAEL</t>
  </si>
  <si>
    <t>TAN NGAN MENG</t>
  </si>
  <si>
    <t>TAN PATRICK BOON OOI</t>
  </si>
  <si>
    <t>TAN PUAY HIANG</t>
  </si>
  <si>
    <t>TAN QI</t>
  </si>
  <si>
    <t>TAN QUEENIE SHU WOON</t>
  </si>
  <si>
    <t>TAN SENG CHUAN</t>
  </si>
  <si>
    <t>TAN SEOW LOONG</t>
  </si>
  <si>
    <t>TAN YAW SING</t>
  </si>
  <si>
    <t>TAY HSIEN TSUNG</t>
  </si>
  <si>
    <t>TAY JING WEN MARCUS</t>
  </si>
  <si>
    <t>TAY KIANG HIONG</t>
  </si>
  <si>
    <t>TEAPASAR PTE LTD</t>
  </si>
  <si>
    <t>TECHMED HEALTH PTE LTD</t>
  </si>
  <si>
    <t>TECHSSISTED SURGICAL PTE LTD</t>
  </si>
  <si>
    <t>TEE CHEE KEONG</t>
  </si>
  <si>
    <t>TELECOM EQUIPMENT PTE LTD</t>
  </si>
  <si>
    <t>TEMASEK LIFE SICENCES LABORATORY LTD</t>
  </si>
  <si>
    <t>TENG WOON CHIEN CECILIA</t>
  </si>
  <si>
    <t>TEO YIN NAH</t>
  </si>
  <si>
    <t>TETSUYU HEALTHCARE HOLDINGS PTE LTD</t>
  </si>
  <si>
    <t>THE BEAUTY NATION PTE LTD</t>
  </si>
  <si>
    <t>THE CHLOROPLASTPTE LTD</t>
  </si>
  <si>
    <t>THE CLINICIAN PTE LTD</t>
  </si>
  <si>
    <t>THE HONGKONG AND SHANGHAI BANKING CORPORATION LTD</t>
  </si>
  <si>
    <t>THE MONETARY AUTHORITY OF SINGAPORE</t>
  </si>
  <si>
    <t>THE SQIX COMPANY PTE LTD</t>
  </si>
  <si>
    <t>TOH CHIN HON</t>
  </si>
  <si>
    <t>TOKU E BIOTECH LABORATORY PTE LTD</t>
  </si>
  <si>
    <t>TON LUONG HOA</t>
  </si>
  <si>
    <t>TOOKITAKI HOLDING PTE LTD</t>
  </si>
  <si>
    <t>TOP GLOVE INT SDN BHD</t>
  </si>
  <si>
    <t>TRAVECTA THERAPEUTICS INC</t>
  </si>
  <si>
    <t>TRAX TECH SOLUTIONS PIE LTD</t>
  </si>
  <si>
    <t>TRAX TECH SOLUTIOS PTE LTD</t>
  </si>
  <si>
    <t>TRAX TECHNOLIGY SOLUTION PTE LTD</t>
  </si>
  <si>
    <t>TRAX TECHNOLOLGY SOLUTIONS PTE LTD</t>
  </si>
  <si>
    <t>TREK 2000 INT LTD</t>
  </si>
  <si>
    <t>TREK TECH (S) PTE LTD</t>
  </si>
  <si>
    <t>TREK TECH S PTE LTD</t>
  </si>
  <si>
    <t>TRIA PTE LTD</t>
  </si>
  <si>
    <t>TRIDENT CORPORATE SERVICES SINGAPORE PTE LTD AS TRUSTEE FOR THE ONEPLACE UNIT TRUST</t>
  </si>
  <si>
    <t>TRITECH WATER TECH PTE LTD</t>
  </si>
  <si>
    <t>TSG THERAPEUTICS PTE LTD</t>
  </si>
  <si>
    <t>TUMMANAPALLI SATYANARAYANA</t>
  </si>
  <si>
    <t>TURTLETREE LAB PTE LTD</t>
  </si>
  <si>
    <t>TWO BIRDS MEDICAL PTE LTD</t>
  </si>
  <si>
    <t>TYSANA PTE LTD</t>
  </si>
  <si>
    <t>Tan Yong Heng</t>
  </si>
  <si>
    <t>Teo Guo Liang</t>
  </si>
  <si>
    <t>UHOO PTE LTD</t>
  </si>
  <si>
    <t>UIB HOLDINGS PTE LTD</t>
  </si>
  <si>
    <t>UIB HOLDINGS PTE LTE</t>
  </si>
  <si>
    <t>ULTRASOUND ASSISTED MEDTECH PTE LTD</t>
  </si>
  <si>
    <t>ULTRON TECHNIQUES PTE LTD</t>
  </si>
  <si>
    <t>UMITRON PTE LTD</t>
  </si>
  <si>
    <t>UNICITY PROPERTIES INC</t>
  </si>
  <si>
    <t>UNISTRAWHOLDINGS PTE LTD</t>
  </si>
  <si>
    <t>UNITED CREST HEALTHCARE PTE LTD COMPANY</t>
  </si>
  <si>
    <t>UPPSALA PTE LTD</t>
  </si>
  <si>
    <t>UST GLOBAL SINGAPORE PTE LTE</t>
  </si>
  <si>
    <t>UTIBA PTE LTD</t>
  </si>
  <si>
    <t>UTU PTE LTD</t>
  </si>
  <si>
    <t>V3 SMART TECH PTE LTD</t>
  </si>
  <si>
    <t>VAC4ALL PTE LTD</t>
  </si>
  <si>
    <t>VADARO PTE LTD</t>
  </si>
  <si>
    <t>VALDIMIR PTE LTD</t>
  </si>
  <si>
    <t>VANGUARD INIERNATIONAL SEMICONDUCTOR SINGAPORE PTE LTD</t>
  </si>
  <si>
    <t>VANGUARD INT SEMICONDUCTOR SINGAPORE PTE LTD</t>
  </si>
  <si>
    <t>VECHAIN FOUNDATION LTD</t>
  </si>
  <si>
    <t>VENIA MEDICAL SYSTEMS PTE LTD</t>
  </si>
  <si>
    <t>VENKATARAMAN KARTHIK</t>
  </si>
  <si>
    <t>VENKATASUBRAMANIAN ARUN</t>
  </si>
  <si>
    <t>VENKATRAMAN SUBRAMANIAN</t>
  </si>
  <si>
    <t>VERRENCY HOLDINGS PTE LTD</t>
  </si>
  <si>
    <t>VERTICAL OCEANS PTE LTD</t>
  </si>
  <si>
    <t>VESL PTE LTD</t>
  </si>
  <si>
    <t>VI DIMENSIONS PTE LTD</t>
  </si>
  <si>
    <t>VIATRIS ASIA PACIFIC PTD LTD</t>
  </si>
  <si>
    <t>VIEL PIERRE EMMANUEL</t>
  </si>
  <si>
    <t>VIGILANTECH PTE LTD</t>
  </si>
  <si>
    <t>VIITAR PTE LTD</t>
  </si>
  <si>
    <t>VIN DE BONA TRADING CO PTE LTD</t>
  </si>
  <si>
    <t>VIN DE BONA TRADING COMPANY PTE LTD</t>
  </si>
  <si>
    <t>VISAK FINANCIAL TECH PTE LTD</t>
  </si>
  <si>
    <t>VISION QUEST DESIGN PTE LTD</t>
  </si>
  <si>
    <t>VISRE PTE LTD</t>
  </si>
  <si>
    <t>VITRUVIANMD PTE LTD</t>
  </si>
  <si>
    <t>VIVO SURGICAL PRIVATE LTD</t>
  </si>
  <si>
    <t>VOSSELER HANS GUENTER</t>
  </si>
  <si>
    <t>VOUCHER ACTIVATION IP SERVICES PTE LTD</t>
  </si>
  <si>
    <t>VUCLIP (SINGAPORE) PTE LTD</t>
  </si>
  <si>
    <t>VULCAN AI PTE LTD</t>
  </si>
  <si>
    <t>VVB BIO PTE LTD</t>
  </si>
  <si>
    <t>VYAS RAHUL</t>
  </si>
  <si>
    <t>Ventani Pietro</t>
  </si>
  <si>
    <t>Veshkurtsev Nikita</t>
  </si>
  <si>
    <t>Viralint Pte Ltd</t>
  </si>
  <si>
    <t>WAH CHNG WENG</t>
  </si>
  <si>
    <t>WAN HAI LINES SINGAPORE PTE LTD</t>
  </si>
  <si>
    <t>WANG BEI</t>
  </si>
  <si>
    <t>WANG CHENG I</t>
  </si>
  <si>
    <t>WANG HAIWEI</t>
  </si>
  <si>
    <t>WANG LIAN</t>
  </si>
  <si>
    <t>WANG QIANG</t>
  </si>
  <si>
    <t>WEE LIANG CHIEH</t>
  </si>
  <si>
    <t>WEI LONG ELECTRONICS ENG PTE LTD</t>
  </si>
  <si>
    <t>WHALESAVE PTE LTD</t>
  </si>
  <si>
    <t>WHISPER HOLDINGS PTE LTD</t>
  </si>
  <si>
    <t>WHITE ROBERT</t>
  </si>
  <si>
    <t>WIDJAJA ANISSA</t>
  </si>
  <si>
    <t>WIESNER STEVEN</t>
  </si>
  <si>
    <t>WILLIAMS MEREDITH</t>
  </si>
  <si>
    <t>WILLOWMORE PTE LTD</t>
  </si>
  <si>
    <t>WILM ANDREAS</t>
  </si>
  <si>
    <t>WILMAR INT LTD</t>
  </si>
  <si>
    <t>WILMAR TRADING PTE LTD</t>
  </si>
  <si>
    <t>WIN TUN TUN</t>
  </si>
  <si>
    <t>WINDY HILL PTE LTD</t>
  </si>
  <si>
    <t>WINNER SG PTE LTD</t>
  </si>
  <si>
    <t>WISEBRACE PTE LTD</t>
  </si>
  <si>
    <t>WISTA LABORATORIES LTD</t>
  </si>
  <si>
    <t>WOLFCREEK BIOTECH PTE LTD</t>
  </si>
  <si>
    <t>WONDER TECH PTE LTD</t>
  </si>
  <si>
    <t>WONG FRANCIS</t>
  </si>
  <si>
    <t>WONG KOK ANN</t>
  </si>
  <si>
    <t>WONG TIEN YIN</t>
  </si>
  <si>
    <t>WONG WING KEE DAMON</t>
  </si>
  <si>
    <t>WOWLINK PTE LTD</t>
  </si>
  <si>
    <t>WU XUDONG</t>
  </si>
  <si>
    <t>Wah June Hwang</t>
  </si>
  <si>
    <t>Wong Marie</t>
  </si>
  <si>
    <t>XENTIQ PARTNERS (PTE ) LTD</t>
  </si>
  <si>
    <t>XENTIQ PARTNERS PTE LTD</t>
  </si>
  <si>
    <t>XIONG MINRU GORDON</t>
  </si>
  <si>
    <t>XJERA LABS PTE LTD</t>
  </si>
  <si>
    <t>XU CHEN</t>
  </si>
  <si>
    <t>XU ENQI</t>
  </si>
  <si>
    <t>XU SHAN</t>
  </si>
  <si>
    <t>XU YING</t>
  </si>
  <si>
    <t>XU ZILONG</t>
  </si>
  <si>
    <t>XU ZONGYUAN</t>
  </si>
  <si>
    <t>XUE KUN</t>
  </si>
  <si>
    <t>Xenolis Pte Ltd</t>
  </si>
  <si>
    <t>YANG MO</t>
  </si>
  <si>
    <t>YANG WEI</t>
  </si>
  <si>
    <t>YAP CHENG KANG COMPASS</t>
  </si>
  <si>
    <t>YARDSTICK PTE LTD</t>
  </si>
  <si>
    <t>YE YAWEI</t>
  </si>
  <si>
    <t>YEN PAUL M</t>
  </si>
  <si>
    <t>YEO KHUNG KEONG</t>
  </si>
  <si>
    <t>YEO RONNE</t>
  </si>
  <si>
    <t>YEO RONNE WEE YEH</t>
  </si>
  <si>
    <t>YEO WENQI</t>
  </si>
  <si>
    <t>YEUNG BRYAN KS</t>
  </si>
  <si>
    <t>YIJIAHE SINGAPORE PTE LTD</t>
  </si>
  <si>
    <t>YIN FENGSHOU</t>
  </si>
  <si>
    <t>YIN SZE LOH</t>
  </si>
  <si>
    <t>YIP CHOI MEI</t>
  </si>
  <si>
    <t>YOKOKAWA FUMIAKI</t>
  </si>
  <si>
    <t>YONG HAI TECH PTE LTD</t>
  </si>
  <si>
    <t>YONG JIMMY</t>
  </si>
  <si>
    <t>YOST SHAWN</t>
  </si>
  <si>
    <t>YSQ INT PTE LTD</t>
  </si>
  <si>
    <t>YU FONG CHUAN JULIAN</t>
  </si>
  <si>
    <t>YUMCHA STUDIOS PTE LTD</t>
  </si>
  <si>
    <t>ZAIREN SALLEH MR</t>
  </si>
  <si>
    <t>ZECO SYSTEMS PTD LTD</t>
  </si>
  <si>
    <t>ZECO SYSTEMS PTE LTD</t>
  </si>
  <si>
    <t>ZENO THERAPEUTICS PTE LTD</t>
  </si>
  <si>
    <t>ZENSUNG PTE LTD</t>
  </si>
  <si>
    <t>ZERO2 5 BIOTECH PTE LTD</t>
  </si>
  <si>
    <t>ZHANG DANIEL</t>
  </si>
  <si>
    <t>ZHANG DIAN</t>
  </si>
  <si>
    <t>ZHANG HAOCHUAN</t>
  </si>
  <si>
    <t>ZHANG JIANNING</t>
  </si>
  <si>
    <t>ZHANG JUN JI</t>
  </si>
  <si>
    <t>ZHANG YIZHONG</t>
  </si>
  <si>
    <t>ZHANG YONGTAI</t>
  </si>
  <si>
    <t>ZHANG ZHUO</t>
  </si>
  <si>
    <t>ZHAO XINXIN</t>
  </si>
  <si>
    <t>ZHIYAO ZHOU</t>
  </si>
  <si>
    <t>ZILLIACUS THOMAS HENRIK</t>
  </si>
  <si>
    <t>ZIXXE PTE LTD</t>
  </si>
  <si>
    <t>ZIYUE LU</t>
  </si>
  <si>
    <t>ZONGYUAN XU</t>
  </si>
  <si>
    <t>ZOU BIN</t>
  </si>
  <si>
    <t>Zhang xiao xiao</t>
  </si>
  <si>
    <t>Zhuang jian ming</t>
  </si>
  <si>
    <t>comGateway (S) Pte Ltd</t>
  </si>
  <si>
    <r>
      <rPr>
        <b/>
        <sz val="10"/>
        <color rgb="FFFFFFFF"/>
        <rFont val="Noto Sans CJK SC"/>
        <family val="2"/>
      </rPr>
      <t xml:space="preserve">归一化名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仅供分组</t>
    </r>
    <r>
      <rPr>
        <b/>
        <sz val="10"/>
        <color rgb="FFFFFFFF"/>
        <rFont val="Arial"/>
        <family val="2"/>
      </rPr>
      <t>)</t>
    </r>
  </si>
  <si>
    <t>原始申请人名</t>
  </si>
  <si>
    <r>
      <rPr>
        <b/>
        <sz val="10"/>
        <color rgb="FFFFFFFF"/>
        <rFont val="Noto Sans CJK SC"/>
        <family val="2"/>
      </rPr>
      <t xml:space="preserve">预填 </t>
    </r>
    <r>
      <rPr>
        <b/>
        <sz val="10"/>
        <color rgb="FFFFFFFF"/>
        <rFont val="Arial"/>
        <family val="2"/>
      </rPr>
      <t>sector</t>
    </r>
  </si>
  <si>
    <t>LENOVO SINGAPORE</t>
  </si>
  <si>
    <r>
      <rPr>
        <i/>
        <sz val="9"/>
        <color rgb="FF808080"/>
        <rFont val="Arial"/>
        <family val="2"/>
      </rPr>
      <t xml:space="preserve">3 </t>
    </r>
    <r>
      <rPr>
        <i/>
        <sz val="9"/>
        <color rgb="FF808080"/>
        <rFont val="Noto Sans CJK SC"/>
        <family val="2"/>
      </rPr>
      <t>种拼法</t>
    </r>
  </si>
  <si>
    <t>SMITH AND NEPHEW ASIA PACIFIC</t>
  </si>
  <si>
    <r>
      <rPr>
        <i/>
        <sz val="9"/>
        <color rgb="FF808080"/>
        <rFont val="Arial"/>
        <family val="2"/>
      </rPr>
      <t xml:space="preserve">2 </t>
    </r>
    <r>
      <rPr>
        <i/>
        <sz val="9"/>
        <color rgb="FF808080"/>
        <rFont val="Noto Sans CJK SC"/>
        <family val="2"/>
      </rPr>
      <t>种拼法</t>
    </r>
  </si>
  <si>
    <t>LEICA INSTR SINGAPORE</t>
  </si>
  <si>
    <t>NAT UNIV HOSPITAL SINGAPORE</t>
  </si>
  <si>
    <t>GRABTAXI</t>
  </si>
  <si>
    <t>WAVE LIFE SCIENCES</t>
  </si>
  <si>
    <t>SMITH AND NEPHEW</t>
  </si>
  <si>
    <t>HILL ROM SERVICES</t>
  </si>
  <si>
    <t>HCP HEALTHCARE ASIA</t>
  </si>
  <si>
    <t>AON GLOBAL OPERATIONS SINGAPORE</t>
  </si>
  <si>
    <r>
      <rPr>
        <i/>
        <sz val="9"/>
        <color rgb="FF808080"/>
        <rFont val="Arial"/>
        <family val="2"/>
      </rPr>
      <t xml:space="preserve">4 </t>
    </r>
    <r>
      <rPr>
        <i/>
        <sz val="9"/>
        <color rgb="FF808080"/>
        <rFont val="Noto Sans CJK SC"/>
        <family val="2"/>
      </rPr>
      <t>种拼法</t>
    </r>
  </si>
  <si>
    <t>HUMMINGBIRD BIOSCIENCE</t>
  </si>
  <si>
    <t>PUZHEN LIFE</t>
  </si>
  <si>
    <t>RAZER ASIA PACIFIC</t>
  </si>
  <si>
    <t>MOFFETT INTERNATIONAL</t>
  </si>
  <si>
    <t>TESSA THERAPEUTICS</t>
  </si>
  <si>
    <t>ANTS TECH HK</t>
  </si>
  <si>
    <t>DELTA ELECTRONICS INT L SINGAPORE</t>
  </si>
  <si>
    <t>THUNDER POWER NEW ENERGY VEHICLE DEVELOPMENT</t>
  </si>
  <si>
    <t>LIFE TECH</t>
  </si>
  <si>
    <t>EINNOVATIONS</t>
  </si>
  <si>
    <t>ACT GENOMICS</t>
  </si>
  <si>
    <t>OSIM INT</t>
  </si>
  <si>
    <t>PERFECT VISION TECH HK</t>
  </si>
  <si>
    <t>TENACIA BIOTECHNOLOGY HONG KONG</t>
  </si>
  <si>
    <t>INNOVENT BIOLOGICS SINGAPORE</t>
  </si>
  <si>
    <t>XYLONIX</t>
  </si>
  <si>
    <t>CENTRE FOR VIROLOGY VACCINOLOGY AND THERAPEUTICS</t>
  </si>
  <si>
    <t>PRESTIGE BIOPHARMA</t>
  </si>
  <si>
    <t>YISHENG BIOPHARMA SINGAPORE</t>
  </si>
  <si>
    <t>CHISCAN</t>
  </si>
  <si>
    <t>PCCW VUCLIP SINGAPORE</t>
  </si>
  <si>
    <t>TRAVECTA THERAPEUTICS</t>
  </si>
  <si>
    <t>VERRENCY</t>
  </si>
  <si>
    <t>AGENCY FOR SCIENCE TECH AND RESEARCH A STAR</t>
  </si>
  <si>
    <t>BELUN TECH</t>
  </si>
  <si>
    <t>RONA BIOSCIENCE</t>
  </si>
  <si>
    <t>SCION MEDICAL</t>
  </si>
  <si>
    <t>AMKOR TECH SINGAPORE</t>
  </si>
  <si>
    <t>MEDISIX THERAPEUTICS</t>
  </si>
  <si>
    <t>NAL PHARMACEUTICALS</t>
  </si>
  <si>
    <t>BRIGHT CLINICAL RES</t>
  </si>
  <si>
    <t>LIFETRONS SWITZERLAND</t>
  </si>
  <si>
    <t>AON GLOBAL OPERATIONS SINGAPORE REG T12FC0122F</t>
  </si>
  <si>
    <t>BIO CANCER TREAT INTERNATIONAL</t>
  </si>
  <si>
    <t>BIO MEDICAL ENG HK</t>
  </si>
  <si>
    <t>LITTLE NOBLEMAN TECH</t>
  </si>
  <si>
    <t>ONANOFF</t>
  </si>
  <si>
    <t>POWDER PHARMACEUTICALS</t>
  </si>
  <si>
    <t>SOL MILLENNIUM MEDICAL HK</t>
  </si>
  <si>
    <t>WORLD WIDE STATIONERY MFG</t>
  </si>
  <si>
    <t>M LEAGUE</t>
  </si>
  <si>
    <t>MSM</t>
  </si>
  <si>
    <t>NOMADD DESERT SOLAR SOLUTIONS</t>
  </si>
  <si>
    <t>SEMICONDUCTOR TECH AND INSTRUMENTS</t>
  </si>
  <si>
    <t>SOPHIE S BIONUTRIENTS</t>
  </si>
  <si>
    <t>VUCLIP SINGAPORE</t>
  </si>
  <si>
    <t>JJSK R AND D</t>
  </si>
  <si>
    <t>ST ELECTRONICS TRAINING AND SIMULATION SYSTEMS</t>
  </si>
  <si>
    <t>365 TECH</t>
  </si>
  <si>
    <t>ASIABASE TECH</t>
  </si>
  <si>
    <t>CLEVER MOTION TECH</t>
  </si>
  <si>
    <t>COMPASS TECH</t>
  </si>
  <si>
    <t>HAI KANG LIFE</t>
  </si>
  <si>
    <t>HAYCO MFG</t>
  </si>
  <si>
    <t>JOINT CONCEPT HONG KONG</t>
  </si>
  <si>
    <t>KIKA TECH HK</t>
  </si>
  <si>
    <t>LIFENG TECH</t>
  </si>
  <si>
    <t>M AND M TECH</t>
  </si>
  <si>
    <t>SINGLE PERSON TRANSP DESIGN SPTD</t>
  </si>
  <si>
    <t>SMOOTHWEB TECH</t>
  </si>
  <si>
    <t>ST MICROELECTRONICS</t>
  </si>
  <si>
    <t>VITARGENT INTERNATIONAL BIOTECHNOLOGY</t>
  </si>
  <si>
    <t>WELSKY TECH</t>
  </si>
  <si>
    <t>ARROW MED DESIGN</t>
  </si>
  <si>
    <t>CENNERV PHARMA S</t>
  </si>
  <si>
    <t>FOX GLACIER ASSET MAN</t>
  </si>
  <si>
    <t>MSC CONSULTING S</t>
  </si>
  <si>
    <t>NAT SKIN CENTER S</t>
  </si>
  <si>
    <t>NAVAD LIFE SCIENCES</t>
  </si>
  <si>
    <t>PTS TECH</t>
  </si>
  <si>
    <t>SUNTORY BEVERAGE AND FOOD ASIA</t>
  </si>
  <si>
    <t>TREK TECH S</t>
  </si>
  <si>
    <t>VIN DE BONA TRADING</t>
  </si>
  <si>
    <t>XENTIQ PARTNERS</t>
  </si>
  <si>
    <t>HONG KONG CENTRE FOR CEREBRO CARDIOVASCULAR HEALTH ENGINEERING LTD</t>
    <phoneticPr fontId="22" type="noConversion"/>
  </si>
  <si>
    <r>
      <t xml:space="preserve">InnoHK </t>
    </r>
    <r>
      <rPr>
        <sz val="10"/>
        <rFont val="微軟正黑體"/>
        <family val="2"/>
        <charset val="136"/>
      </rPr>
      <t>中心算</t>
    </r>
    <r>
      <rPr>
        <sz val="10"/>
        <rFont val="Arial"/>
        <family val="2"/>
      </rPr>
      <t xml:space="preserve"> public_rd </t>
    </r>
    <r>
      <rPr>
        <sz val="10"/>
        <rFont val="微軟正黑體"/>
        <family val="2"/>
        <charset val="136"/>
      </rPr>
      <t>还是</t>
    </r>
    <r>
      <rPr>
        <sz val="10"/>
        <rFont val="Arial"/>
        <family val="2"/>
      </rPr>
      <t xml:space="preserve"> university</t>
    </r>
    <r>
      <rPr>
        <sz val="10"/>
        <rFont val="微軟正黑體"/>
        <family val="2"/>
        <charset val="136"/>
      </rPr>
      <t>？</t>
    </r>
    <phoneticPr fontId="22" type="noConversion"/>
  </si>
  <si>
    <t>exclude</t>
  </si>
  <si>
    <t>SGPTH Life Science AB</t>
    <phoneticPr fontId="22" type="noConversion"/>
  </si>
  <si>
    <t>STANDARD CHARTERED BANK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</si>
</sst>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>
    <font>
      <sz val="11"/>
      <color theme="1"/>
      <name val="Calibri"/>
      <family val="2"/>
      <charset val="1"/>
    </font>
    <font>
      <b/>
      <sz val="15"/>
      <name val="Noto Sans CJK SC"/>
      <family val="2"/>
    </font>
    <font>
      <b/>
      <sz val="15"/>
      <name val="Arial"/>
      <family val="2"/>
    </font>
    <font>
      <sz val="10"/>
      <color rgb="FF595959"/>
      <name val="Arial"/>
      <family val="2"/>
    </font>
    <font>
      <sz val="10"/>
      <color rgb="FF595959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Noto Sans CJK SC"/>
      <family val="2"/>
    </font>
    <font>
      <b/>
      <sz val="10"/>
      <color rgb="FFC00000"/>
      <name val="Noto Sans CJK SC"/>
      <family val="2"/>
    </font>
    <font>
      <b/>
      <sz val="10"/>
      <color rgb="FFC00000"/>
      <name val="Arial"/>
      <family val="2"/>
    </font>
    <font>
      <i/>
      <sz val="10"/>
      <color rgb="FF595959"/>
      <name val="Noto Sans CJK SC"/>
      <family val="2"/>
    </font>
    <font>
      <i/>
      <sz val="10"/>
      <color rgb="FF595959"/>
      <name val="Arial"/>
      <family val="2"/>
    </font>
    <font>
      <sz val="9"/>
      <color rgb="FF595959"/>
      <name val="Arial"/>
      <family val="2"/>
    </font>
    <font>
      <sz val="9"/>
      <color rgb="FF595959"/>
      <name val="Noto Sans CJK SC"/>
      <family val="2"/>
    </font>
    <font>
      <b/>
      <sz val="10"/>
      <color rgb="FFFFFFFF"/>
      <name val="Arial"/>
      <family val="2"/>
    </font>
    <font>
      <sz val="9"/>
      <name val="Consolas"/>
      <family val="3"/>
    </font>
    <font>
      <i/>
      <sz val="9"/>
      <color rgb="FF808080"/>
      <name val="Arial"/>
      <family val="2"/>
    </font>
    <font>
      <i/>
      <sz val="9"/>
      <color rgb="FF808080"/>
      <name val="Noto Sans CJK SC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9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11" fillId="2" borderId="0" xfId="0" applyFont="1" applyFill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176" fontId="9" fillId="0" borderId="1" xfId="0" applyNumberFormat="1" applyFont="1" applyBorder="1" applyAlignment="1">
      <alignment horizontal="right"/>
    </xf>
    <xf numFmtId="0" fontId="8" fillId="0" borderId="1" xfId="0" applyFont="1" applyBorder="1"/>
    <xf numFmtId="0" fontId="7" fillId="3" borderId="1" xfId="0" applyFont="1" applyFill="1" applyBorder="1"/>
    <xf numFmtId="176" fontId="10" fillId="3" borderId="1" xfId="0" applyNumberFormat="1" applyFont="1" applyFill="1" applyBorder="1"/>
    <xf numFmtId="0" fontId="12" fillId="0" borderId="0" xfId="0" applyFont="1"/>
    <xf numFmtId="0" fontId="11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176" fontId="9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9" fillId="4" borderId="0" xfId="0" applyFont="1" applyFill="1" applyAlignment="1">
      <alignment horizontal="left"/>
    </xf>
    <xf numFmtId="0" fontId="10" fillId="3" borderId="0" xfId="0" applyFont="1" applyFill="1"/>
    <xf numFmtId="0" fontId="20" fillId="3" borderId="0" xfId="0" applyFont="1" applyFill="1"/>
    <xf numFmtId="0" fontId="0" fillId="3" borderId="0" xfId="0" applyFill="1"/>
    <xf numFmtId="0" fontId="19" fillId="0" borderId="0" xfId="0" applyFont="1"/>
    <xf numFmtId="0" fontId="8" fillId="0" borderId="0" xfId="0" applyFont="1"/>
    <xf numFmtId="0" fontId="9" fillId="0" borderId="0" xfId="0" applyFont="1"/>
    <xf numFmtId="0" fontId="16" fillId="0" borderId="0" xfId="0" applyFont="1"/>
    <xf numFmtId="0" fontId="17" fillId="0" borderId="0" xfId="0" applyFont="1"/>
    <xf numFmtId="0" fontId="1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2"/>
  <sheetViews>
    <sheetView showGridLines="0" zoomScale="160" zoomScaleNormal="160" workbookViewId="0">
      <selection activeCell="B45" sqref="B45"/>
    </sheetView>
  </sheetViews>
  <sheetFormatPr defaultColWidth="8.69140625" defaultRowHeight="14.6"/>
  <cols>
    <col min="1" max="1" width="3" customWidth="1"/>
    <col min="2" max="2" width="30" customWidth="1"/>
    <col min="3" max="4" width="13" customWidth="1"/>
    <col min="5" max="5" width="62" customWidth="1"/>
  </cols>
  <sheetData>
    <row r="2" spans="2:5" ht="19.3">
      <c r="B2" s="2" t="s">
        <v>0</v>
      </c>
    </row>
    <row r="3" spans="2:5">
      <c r="B3" s="3" t="s">
        <v>1</v>
      </c>
    </row>
    <row r="4" spans="2:5">
      <c r="B4" s="4" t="s">
        <v>2</v>
      </c>
    </row>
    <row r="6" spans="2:5">
      <c r="B6" s="5" t="s">
        <v>3</v>
      </c>
    </row>
    <row r="7" spans="2:5">
      <c r="B7" s="31" t="s">
        <v>4</v>
      </c>
      <c r="C7" s="31"/>
      <c r="D7" s="31"/>
      <c r="E7" s="31"/>
    </row>
    <row r="8" spans="2:5">
      <c r="B8" s="31" t="s">
        <v>5</v>
      </c>
      <c r="C8" s="31"/>
      <c r="D8" s="31"/>
      <c r="E8" s="31"/>
    </row>
    <row r="9" spans="2:5">
      <c r="B9" s="31" t="s">
        <v>6</v>
      </c>
      <c r="C9" s="31"/>
      <c r="D9" s="31"/>
      <c r="E9" s="31"/>
    </row>
    <row r="11" spans="2:5">
      <c r="B11" s="5" t="s">
        <v>7</v>
      </c>
    </row>
    <row r="12" spans="2:5">
      <c r="B12" s="31" t="s">
        <v>8</v>
      </c>
      <c r="C12" s="31"/>
      <c r="D12" s="31"/>
      <c r="E12" s="31"/>
    </row>
    <row r="14" spans="2:5">
      <c r="B14" s="6" t="s">
        <v>9</v>
      </c>
      <c r="C14" s="6" t="s">
        <v>10</v>
      </c>
      <c r="D14" s="6" t="s">
        <v>11</v>
      </c>
      <c r="E14" s="6" t="s">
        <v>12</v>
      </c>
    </row>
    <row r="15" spans="2:5">
      <c r="B15" s="7" t="s">
        <v>13</v>
      </c>
      <c r="C15" s="8">
        <f>COUNTIFS(③归类总表!$B:$B,"company",③归类总表!$C:$C,"high")</f>
        <v>1972</v>
      </c>
      <c r="D15" s="8">
        <f>SUMIFS(③归类总表!$D:$D,③归类总表!$B:$B,"company",③归类总表!$C:$C,"high")</f>
        <v>7849</v>
      </c>
      <c r="E15" s="9">
        <f t="shared" ref="E15:E22" si="0">D15/$D$22</f>
        <v>0.66800000000000004</v>
      </c>
    </row>
    <row r="16" spans="2:5">
      <c r="B16" s="7" t="s">
        <v>14</v>
      </c>
      <c r="C16" s="8">
        <f>COUNTIFS(③归类总表!$B:$B,"university",③归类总表!$C:$C,"high")</f>
        <v>56</v>
      </c>
      <c r="D16" s="8">
        <f>SUMIFS(③归类总表!$D:$D,③归类总表!$B:$B,"university",③归类总表!$C:$C,"high")</f>
        <v>1669</v>
      </c>
      <c r="E16" s="9">
        <f t="shared" si="0"/>
        <v>0.14204255319148937</v>
      </c>
    </row>
    <row r="17" spans="2:5">
      <c r="B17" s="7" t="s">
        <v>15</v>
      </c>
      <c r="C17" s="8">
        <f>COUNTIFS(③归类总表!$B:$B,"public_rd",③归类总表!$C:$C,"high")</f>
        <v>63</v>
      </c>
      <c r="D17" s="8">
        <f>SUMIFS(③归类总表!$D:$D,③归类总表!$B:$B,"public_rd",③归类总表!$C:$C,"high")</f>
        <v>1225</v>
      </c>
      <c r="E17" s="9">
        <f t="shared" si="0"/>
        <v>0.10425531914893617</v>
      </c>
    </row>
    <row r="18" spans="2:5">
      <c r="B18" s="7" t="s">
        <v>16</v>
      </c>
      <c r="C18" s="8">
        <f>COUNTIFS(③归类总表!$B:$B,"individual",③归类总表!$C:$C,"med")</f>
        <v>687</v>
      </c>
      <c r="D18" s="8">
        <f>SUMIFS(③归类总表!$D:$D,③归类总表!$B:$B,"individual",③归类总表!$C:$C,"med")</f>
        <v>920</v>
      </c>
      <c r="E18" s="9">
        <f t="shared" si="0"/>
        <v>7.8297872340425526E-2</v>
      </c>
    </row>
    <row r="19" spans="2:5">
      <c r="B19" s="7" t="s">
        <v>17</v>
      </c>
      <c r="C19" s="8">
        <f>COUNTIFS(③归类总表!$B:$B,"public_rd",③归类总表!$C:$C,"med")</f>
        <v>31</v>
      </c>
      <c r="D19" s="8">
        <f>SUMIFS(③归类总表!$D:$D,③归类总表!$B:$B,"public_rd",③归类总表!$C:$C,"med")</f>
        <v>68</v>
      </c>
      <c r="E19" s="9">
        <f t="shared" si="0"/>
        <v>5.7872340425531915E-3</v>
      </c>
    </row>
    <row r="20" spans="2:5">
      <c r="B20" s="7" t="s">
        <v>18</v>
      </c>
      <c r="C20" s="8">
        <f>COUNTIFS(③归类总表!$B:$B,"company",③归类总表!$C:$C,"med")</f>
        <v>17</v>
      </c>
      <c r="D20" s="8">
        <f>SUMIFS(③归类总表!$D:$D,③归类总表!$B:$B,"company",③归类总表!$C:$C,"med")</f>
        <v>19</v>
      </c>
      <c r="E20" s="9">
        <f t="shared" si="0"/>
        <v>1.6170212765957447E-3</v>
      </c>
    </row>
    <row r="21" spans="2:5">
      <c r="B21" s="10" t="s">
        <v>19</v>
      </c>
      <c r="C21" s="8">
        <f>COUNTIFS(③归类总表!$B:$B,"",③归类总表!$C:$C,"low")</f>
        <v>0</v>
      </c>
      <c r="D21" s="8">
        <f>SUMIFS(③归类总表!$D:$D,③归类总表!$B:$B,"",③归类总表!$C:$C,"low")</f>
        <v>0</v>
      </c>
      <c r="E21" s="9">
        <f t="shared" si="0"/>
        <v>0</v>
      </c>
    </row>
    <row r="22" spans="2:5">
      <c r="B22" s="11" t="s">
        <v>20</v>
      </c>
      <c r="C22" s="11">
        <f>SUM(C15:C21)</f>
        <v>2826</v>
      </c>
      <c r="D22" s="11">
        <f>SUM(D15:D21)</f>
        <v>11750</v>
      </c>
      <c r="E22" s="12">
        <f t="shared" si="0"/>
        <v>1</v>
      </c>
    </row>
    <row r="24" spans="2:5">
      <c r="B24" s="5" t="s">
        <v>21</v>
      </c>
    </row>
    <row r="25" spans="2:5">
      <c r="B25" s="13" t="s">
        <v>22</v>
      </c>
      <c r="C25" s="32" t="s">
        <v>23</v>
      </c>
      <c r="D25" s="32"/>
      <c r="E25" s="32"/>
    </row>
    <row r="26" spans="2:5">
      <c r="C26" s="31" t="s">
        <v>24</v>
      </c>
      <c r="D26" s="31"/>
      <c r="E26" s="31"/>
    </row>
    <row r="27" spans="2:5">
      <c r="C27" s="31" t="s">
        <v>25</v>
      </c>
      <c r="D27" s="31"/>
      <c r="E27" s="31"/>
    </row>
    <row r="29" spans="2:5">
      <c r="B29" s="13" t="s">
        <v>26</v>
      </c>
      <c r="C29" s="32" t="s">
        <v>3011</v>
      </c>
      <c r="D29" s="32"/>
      <c r="E29" s="32"/>
    </row>
    <row r="30" spans="2:5">
      <c r="C30" s="31" t="s">
        <v>27</v>
      </c>
      <c r="D30" s="31"/>
      <c r="E30" s="31"/>
    </row>
    <row r="31" spans="2:5">
      <c r="C31" s="31" t="s">
        <v>28</v>
      </c>
      <c r="D31" s="31"/>
      <c r="E31" s="31"/>
    </row>
    <row r="32" spans="2:5">
      <c r="C32" s="35" t="s">
        <v>29</v>
      </c>
      <c r="D32" s="35"/>
      <c r="E32" s="35"/>
    </row>
    <row r="34" spans="2:5">
      <c r="B34" s="5" t="s">
        <v>30</v>
      </c>
    </row>
    <row r="35" spans="2:5">
      <c r="B35" s="31" t="s">
        <v>31</v>
      </c>
      <c r="C35" s="31"/>
      <c r="D35" s="31"/>
      <c r="E35" s="31"/>
    </row>
    <row r="36" spans="2:5">
      <c r="B36" s="31" t="s">
        <v>32</v>
      </c>
      <c r="C36" s="31"/>
      <c r="D36" s="31"/>
      <c r="E36" s="31"/>
    </row>
    <row r="38" spans="2:5">
      <c r="B38" s="5" t="s">
        <v>33</v>
      </c>
    </row>
    <row r="39" spans="2:5">
      <c r="B39" s="33" t="s">
        <v>34</v>
      </c>
      <c r="C39" s="33"/>
      <c r="D39" s="33"/>
      <c r="E39" s="33"/>
    </row>
    <row r="40" spans="2:5">
      <c r="B40" s="33" t="s">
        <v>35</v>
      </c>
      <c r="C40" s="33"/>
      <c r="D40" s="33"/>
      <c r="E40" s="33"/>
    </row>
    <row r="41" spans="2:5">
      <c r="B41" s="33" t="s">
        <v>36</v>
      </c>
      <c r="C41" s="33"/>
      <c r="D41" s="33"/>
      <c r="E41" s="33"/>
    </row>
    <row r="42" spans="2:5">
      <c r="B42" s="34" t="s">
        <v>37</v>
      </c>
      <c r="C42" s="34"/>
      <c r="D42" s="34"/>
      <c r="E42" s="34"/>
    </row>
  </sheetData>
  <mergeCells count="17">
    <mergeCell ref="B41:E41"/>
    <mergeCell ref="B42:E42"/>
    <mergeCell ref="C32:E32"/>
    <mergeCell ref="B35:E35"/>
    <mergeCell ref="B36:E36"/>
    <mergeCell ref="B39:E39"/>
    <mergeCell ref="B40:E40"/>
    <mergeCell ref="C26:E26"/>
    <mergeCell ref="C27:E27"/>
    <mergeCell ref="C29:E29"/>
    <mergeCell ref="C30:E30"/>
    <mergeCell ref="C31:E31"/>
    <mergeCell ref="B7:E7"/>
    <mergeCell ref="B8:E8"/>
    <mergeCell ref="B9:E9"/>
    <mergeCell ref="B12:E12"/>
    <mergeCell ref="C25:E25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zoomScaleNormal="100" workbookViewId="0">
      <pane ySplit="1" topLeftCell="A32" activePane="bottomLeft" state="frozen"/>
      <selection pane="bottomLeft" activeCell="A49" sqref="A49"/>
    </sheetView>
  </sheetViews>
  <sheetFormatPr defaultColWidth="8.69140625" defaultRowHeight="14.6"/>
  <cols>
    <col min="1" max="1" width="58" customWidth="1"/>
    <col min="2" max="2" width="22" customWidth="1"/>
    <col min="3" max="3" width="14" customWidth="1"/>
    <col min="4" max="4" width="9" customWidth="1"/>
    <col min="5" max="5" width="8" customWidth="1"/>
    <col min="6" max="6" width="52" customWidth="1"/>
  </cols>
  <sheetData>
    <row r="1" spans="1:6" ht="30" customHeight="1">
      <c r="A1" s="14" t="s">
        <v>38</v>
      </c>
      <c r="B1" s="15" t="s">
        <v>39</v>
      </c>
      <c r="C1" s="14" t="s">
        <v>40</v>
      </c>
      <c r="D1" s="14" t="s">
        <v>11</v>
      </c>
      <c r="E1" s="14" t="s">
        <v>41</v>
      </c>
      <c r="F1" s="14" t="s">
        <v>42</v>
      </c>
    </row>
    <row r="2" spans="1:6">
      <c r="A2" s="16" t="s">
        <v>3010</v>
      </c>
      <c r="B2" s="17" t="s">
        <v>44</v>
      </c>
      <c r="C2" s="18" t="s">
        <v>45</v>
      </c>
      <c r="D2" s="19">
        <v>7</v>
      </c>
      <c r="E2" s="18" t="s">
        <v>46</v>
      </c>
      <c r="F2" s="20" t="s">
        <v>47</v>
      </c>
    </row>
    <row r="3" spans="1:6">
      <c r="A3" s="16" t="s">
        <v>48</v>
      </c>
      <c r="B3" s="17" t="s">
        <v>44</v>
      </c>
      <c r="C3" s="18" t="s">
        <v>45</v>
      </c>
      <c r="D3" s="19">
        <v>6</v>
      </c>
      <c r="E3" s="18" t="s">
        <v>46</v>
      </c>
      <c r="F3" s="20" t="s">
        <v>47</v>
      </c>
    </row>
    <row r="4" spans="1:6">
      <c r="A4" s="16" t="s">
        <v>49</v>
      </c>
      <c r="B4" s="17" t="s">
        <v>44</v>
      </c>
      <c r="C4" s="18" t="s">
        <v>45</v>
      </c>
      <c r="D4" s="19">
        <v>6</v>
      </c>
      <c r="E4" s="18" t="s">
        <v>46</v>
      </c>
      <c r="F4" s="20" t="s">
        <v>47</v>
      </c>
    </row>
    <row r="5" spans="1:6">
      <c r="A5" s="16" t="s">
        <v>50</v>
      </c>
      <c r="B5" s="17" t="s">
        <v>44</v>
      </c>
      <c r="C5" s="18" t="s">
        <v>45</v>
      </c>
      <c r="D5" s="19">
        <v>6</v>
      </c>
      <c r="E5" s="18" t="s">
        <v>46</v>
      </c>
      <c r="F5" s="20" t="s">
        <v>47</v>
      </c>
    </row>
    <row r="6" spans="1:6">
      <c r="A6" s="16" t="s">
        <v>51</v>
      </c>
      <c r="B6" s="17" t="s">
        <v>44</v>
      </c>
      <c r="C6" s="18" t="s">
        <v>45</v>
      </c>
      <c r="D6" s="19">
        <v>4</v>
      </c>
      <c r="E6" s="18" t="s">
        <v>46</v>
      </c>
      <c r="F6" s="20" t="s">
        <v>47</v>
      </c>
    </row>
    <row r="7" spans="1:6">
      <c r="A7" s="16" t="s">
        <v>52</v>
      </c>
      <c r="B7" s="17" t="s">
        <v>44</v>
      </c>
      <c r="C7" s="18" t="s">
        <v>45</v>
      </c>
      <c r="D7" s="19">
        <v>4</v>
      </c>
      <c r="E7" s="18" t="s">
        <v>53</v>
      </c>
      <c r="F7" s="20" t="s">
        <v>47</v>
      </c>
    </row>
    <row r="8" spans="1:6">
      <c r="A8" s="16" t="s">
        <v>54</v>
      </c>
      <c r="B8" s="17" t="s">
        <v>44</v>
      </c>
      <c r="C8" s="18" t="s">
        <v>45</v>
      </c>
      <c r="D8" s="19">
        <v>3</v>
      </c>
      <c r="E8" s="18" t="s">
        <v>46</v>
      </c>
      <c r="F8" s="20" t="s">
        <v>47</v>
      </c>
    </row>
    <row r="9" spans="1:6">
      <c r="A9" s="16" t="s">
        <v>55</v>
      </c>
      <c r="B9" s="17" t="s">
        <v>44</v>
      </c>
      <c r="C9" s="18" t="s">
        <v>45</v>
      </c>
      <c r="D9" s="19">
        <v>3</v>
      </c>
      <c r="E9" s="18" t="s">
        <v>53</v>
      </c>
      <c r="F9" s="20" t="s">
        <v>57</v>
      </c>
    </row>
    <row r="10" spans="1:6">
      <c r="A10" s="16" t="s">
        <v>58</v>
      </c>
      <c r="B10" s="17" t="s">
        <v>44</v>
      </c>
      <c r="C10" s="18" t="s">
        <v>45</v>
      </c>
      <c r="D10" s="19">
        <v>2</v>
      </c>
      <c r="E10" s="18" t="s">
        <v>46</v>
      </c>
      <c r="F10" s="20" t="s">
        <v>47</v>
      </c>
    </row>
    <row r="11" spans="1:6">
      <c r="A11" s="16" t="s">
        <v>59</v>
      </c>
      <c r="B11" s="17" t="s">
        <v>44</v>
      </c>
      <c r="C11" s="18" t="s">
        <v>45</v>
      </c>
      <c r="D11" s="19">
        <v>2</v>
      </c>
      <c r="E11" s="18" t="s">
        <v>46</v>
      </c>
      <c r="F11" s="20" t="s">
        <v>47</v>
      </c>
    </row>
    <row r="12" spans="1:6">
      <c r="A12" s="16" t="s">
        <v>60</v>
      </c>
      <c r="B12" s="17" t="s">
        <v>56</v>
      </c>
      <c r="C12" s="18" t="s">
        <v>45</v>
      </c>
      <c r="D12" s="19">
        <v>2</v>
      </c>
      <c r="E12" s="18" t="s">
        <v>46</v>
      </c>
      <c r="F12" s="20" t="s">
        <v>47</v>
      </c>
    </row>
    <row r="13" spans="1:6">
      <c r="A13" s="16" t="s">
        <v>61</v>
      </c>
      <c r="B13" s="17" t="s">
        <v>44</v>
      </c>
      <c r="C13" s="18" t="s">
        <v>45</v>
      </c>
      <c r="D13" s="19">
        <v>2</v>
      </c>
      <c r="E13" s="18" t="s">
        <v>46</v>
      </c>
      <c r="F13" s="20" t="s">
        <v>47</v>
      </c>
    </row>
    <row r="14" spans="1:6">
      <c r="A14" s="16" t="s">
        <v>62</v>
      </c>
      <c r="B14" s="17" t="s">
        <v>56</v>
      </c>
      <c r="C14" s="18" t="s">
        <v>45</v>
      </c>
      <c r="D14" s="19">
        <v>2</v>
      </c>
      <c r="E14" s="18" t="s">
        <v>53</v>
      </c>
      <c r="F14" s="20" t="s">
        <v>57</v>
      </c>
    </row>
    <row r="15" spans="1:6">
      <c r="A15" s="16" t="s">
        <v>63</v>
      </c>
      <c r="B15" s="17" t="s">
        <v>129</v>
      </c>
      <c r="C15" s="18" t="s">
        <v>45</v>
      </c>
      <c r="D15" s="19">
        <v>2</v>
      </c>
      <c r="E15" s="18" t="s">
        <v>53</v>
      </c>
      <c r="F15" s="20" t="s">
        <v>57</v>
      </c>
    </row>
    <row r="16" spans="1:6">
      <c r="A16" s="16" t="s">
        <v>64</v>
      </c>
      <c r="B16" s="17" t="s">
        <v>44</v>
      </c>
      <c r="C16" s="18" t="s">
        <v>45</v>
      </c>
      <c r="D16" s="19">
        <v>2</v>
      </c>
      <c r="E16" s="18" t="s">
        <v>53</v>
      </c>
      <c r="F16" s="20" t="s">
        <v>57</v>
      </c>
    </row>
    <row r="17" spans="1:6">
      <c r="A17" s="16" t="s">
        <v>65</v>
      </c>
      <c r="B17" s="17" t="s">
        <v>44</v>
      </c>
      <c r="C17" s="18" t="s">
        <v>45</v>
      </c>
      <c r="D17" s="19">
        <v>2</v>
      </c>
      <c r="E17" s="18" t="s">
        <v>53</v>
      </c>
      <c r="F17" s="20" t="s">
        <v>57</v>
      </c>
    </row>
    <row r="18" spans="1:6">
      <c r="A18" s="16" t="s">
        <v>66</v>
      </c>
      <c r="B18" s="17" t="s">
        <v>56</v>
      </c>
      <c r="C18" s="18" t="s">
        <v>45</v>
      </c>
      <c r="D18" s="19">
        <v>1</v>
      </c>
      <c r="E18" s="18" t="s">
        <v>46</v>
      </c>
      <c r="F18" s="20" t="s">
        <v>57</v>
      </c>
    </row>
    <row r="19" spans="1:6">
      <c r="A19" s="16" t="s">
        <v>67</v>
      </c>
      <c r="B19" s="17" t="s">
        <v>44</v>
      </c>
      <c r="C19" s="18" t="s">
        <v>45</v>
      </c>
      <c r="D19" s="19">
        <v>1</v>
      </c>
      <c r="E19" s="18" t="s">
        <v>46</v>
      </c>
      <c r="F19" s="20" t="s">
        <v>57</v>
      </c>
    </row>
    <row r="20" spans="1:6">
      <c r="A20" s="16" t="s">
        <v>68</v>
      </c>
      <c r="B20" s="17" t="s">
        <v>44</v>
      </c>
      <c r="C20" s="18" t="s">
        <v>45</v>
      </c>
      <c r="D20" s="19">
        <v>1</v>
      </c>
      <c r="E20" s="18" t="s">
        <v>46</v>
      </c>
      <c r="F20" s="20" t="s">
        <v>47</v>
      </c>
    </row>
    <row r="21" spans="1:6">
      <c r="A21" s="16" t="s">
        <v>69</v>
      </c>
      <c r="B21" s="17" t="s">
        <v>44</v>
      </c>
      <c r="C21" s="18" t="s">
        <v>45</v>
      </c>
      <c r="D21" s="19">
        <v>1</v>
      </c>
      <c r="E21" s="18" t="s">
        <v>46</v>
      </c>
      <c r="F21" s="20" t="s">
        <v>47</v>
      </c>
    </row>
    <row r="22" spans="1:6">
      <c r="A22" s="16" t="s">
        <v>70</v>
      </c>
      <c r="B22" s="17" t="s">
        <v>44</v>
      </c>
      <c r="C22" s="18" t="s">
        <v>45</v>
      </c>
      <c r="D22" s="19">
        <v>1</v>
      </c>
      <c r="E22" s="18" t="s">
        <v>46</v>
      </c>
      <c r="F22" s="20" t="s">
        <v>47</v>
      </c>
    </row>
    <row r="23" spans="1:6">
      <c r="A23" s="16" t="s">
        <v>71</v>
      </c>
      <c r="B23" s="17" t="s">
        <v>44</v>
      </c>
      <c r="C23" s="18" t="s">
        <v>45</v>
      </c>
      <c r="D23" s="19">
        <v>1</v>
      </c>
      <c r="E23" s="18" t="s">
        <v>46</v>
      </c>
      <c r="F23" s="20" t="s">
        <v>47</v>
      </c>
    </row>
    <row r="24" spans="1:6">
      <c r="A24" s="16" t="s">
        <v>72</v>
      </c>
      <c r="B24" s="17" t="s">
        <v>129</v>
      </c>
      <c r="C24" s="18" t="s">
        <v>73</v>
      </c>
      <c r="D24" s="19">
        <v>1</v>
      </c>
      <c r="E24" s="18" t="s">
        <v>46</v>
      </c>
      <c r="F24" s="20" t="s">
        <v>74</v>
      </c>
    </row>
    <row r="25" spans="1:6">
      <c r="A25" s="16" t="s">
        <v>75</v>
      </c>
      <c r="B25" s="17" t="s">
        <v>56</v>
      </c>
      <c r="C25" s="18" t="s">
        <v>45</v>
      </c>
      <c r="D25" s="19">
        <v>1</v>
      </c>
      <c r="E25" s="18" t="s">
        <v>46</v>
      </c>
      <c r="F25" s="20" t="s">
        <v>47</v>
      </c>
    </row>
    <row r="26" spans="1:6">
      <c r="A26" s="16" t="s">
        <v>76</v>
      </c>
      <c r="B26" s="17" t="s">
        <v>44</v>
      </c>
      <c r="C26" s="18" t="s">
        <v>45</v>
      </c>
      <c r="D26" s="19">
        <v>1</v>
      </c>
      <c r="E26" s="18" t="s">
        <v>46</v>
      </c>
      <c r="F26" s="20" t="s">
        <v>57</v>
      </c>
    </row>
    <row r="27" spans="1:6">
      <c r="A27" s="16" t="s">
        <v>77</v>
      </c>
      <c r="B27" s="17" t="s">
        <v>44</v>
      </c>
      <c r="C27" s="18" t="s">
        <v>45</v>
      </c>
      <c r="D27" s="19">
        <v>1</v>
      </c>
      <c r="E27" s="18" t="s">
        <v>46</v>
      </c>
      <c r="F27" s="20" t="s">
        <v>47</v>
      </c>
    </row>
    <row r="28" spans="1:6">
      <c r="A28" s="16" t="s">
        <v>78</v>
      </c>
      <c r="B28" s="17" t="s">
        <v>44</v>
      </c>
      <c r="C28" s="18" t="s">
        <v>45</v>
      </c>
      <c r="D28" s="19">
        <v>1</v>
      </c>
      <c r="E28" s="18" t="s">
        <v>46</v>
      </c>
      <c r="F28" s="20" t="s">
        <v>57</v>
      </c>
    </row>
    <row r="29" spans="1:6">
      <c r="A29" s="16" t="s">
        <v>79</v>
      </c>
      <c r="B29" s="17" t="s">
        <v>44</v>
      </c>
      <c r="C29" s="18" t="s">
        <v>45</v>
      </c>
      <c r="D29" s="19">
        <v>1</v>
      </c>
      <c r="E29" s="18" t="s">
        <v>46</v>
      </c>
      <c r="F29" s="20" t="s">
        <v>47</v>
      </c>
    </row>
    <row r="30" spans="1:6">
      <c r="A30" s="16" t="s">
        <v>80</v>
      </c>
      <c r="B30" s="17" t="s">
        <v>44</v>
      </c>
      <c r="C30" s="18" t="s">
        <v>45</v>
      </c>
      <c r="D30" s="19">
        <v>1</v>
      </c>
      <c r="E30" s="18" t="s">
        <v>46</v>
      </c>
      <c r="F30" s="20" t="s">
        <v>57</v>
      </c>
    </row>
    <row r="31" spans="1:6">
      <c r="A31" s="16" t="s">
        <v>81</v>
      </c>
      <c r="B31" s="17" t="s">
        <v>44</v>
      </c>
      <c r="C31" s="18" t="s">
        <v>45</v>
      </c>
      <c r="D31" s="19">
        <v>1</v>
      </c>
      <c r="E31" s="18" t="s">
        <v>46</v>
      </c>
      <c r="F31" s="20" t="s">
        <v>47</v>
      </c>
    </row>
    <row r="32" spans="1:6">
      <c r="A32" s="16" t="s">
        <v>82</v>
      </c>
      <c r="B32" s="17" t="s">
        <v>44</v>
      </c>
      <c r="C32" s="18" t="s">
        <v>45</v>
      </c>
      <c r="D32" s="19">
        <v>1</v>
      </c>
      <c r="E32" s="18" t="s">
        <v>46</v>
      </c>
      <c r="F32" s="20" t="s">
        <v>47</v>
      </c>
    </row>
    <row r="33" spans="1:6">
      <c r="A33" s="16" t="s">
        <v>83</v>
      </c>
      <c r="B33" s="17" t="s">
        <v>44</v>
      </c>
      <c r="C33" s="18" t="s">
        <v>45</v>
      </c>
      <c r="D33" s="19">
        <v>1</v>
      </c>
      <c r="E33" s="18" t="s">
        <v>46</v>
      </c>
      <c r="F33" s="20" t="s">
        <v>47</v>
      </c>
    </row>
    <row r="34" spans="1:6">
      <c r="A34" s="16" t="s">
        <v>84</v>
      </c>
      <c r="B34" s="17" t="s">
        <v>44</v>
      </c>
      <c r="C34" s="18" t="s">
        <v>45</v>
      </c>
      <c r="D34" s="19">
        <v>1</v>
      </c>
      <c r="E34" s="18" t="s">
        <v>46</v>
      </c>
      <c r="F34" s="20" t="s">
        <v>47</v>
      </c>
    </row>
    <row r="35" spans="1:6">
      <c r="A35" s="16" t="s">
        <v>85</v>
      </c>
      <c r="B35" s="17" t="s">
        <v>44</v>
      </c>
      <c r="C35" s="18" t="s">
        <v>45</v>
      </c>
      <c r="D35" s="19">
        <v>1</v>
      </c>
      <c r="E35" s="18" t="s">
        <v>46</v>
      </c>
      <c r="F35" s="20" t="s">
        <v>47</v>
      </c>
    </row>
    <row r="36" spans="1:6">
      <c r="A36" s="16" t="s">
        <v>86</v>
      </c>
      <c r="B36" s="17" t="s">
        <v>56</v>
      </c>
      <c r="C36" s="18" t="s">
        <v>45</v>
      </c>
      <c r="D36" s="19">
        <v>1</v>
      </c>
      <c r="E36" s="18" t="s">
        <v>46</v>
      </c>
      <c r="F36" s="20" t="s">
        <v>47</v>
      </c>
    </row>
    <row r="37" spans="1:6">
      <c r="A37" s="16" t="s">
        <v>87</v>
      </c>
      <c r="B37" s="17" t="s">
        <v>163</v>
      </c>
      <c r="C37" s="18" t="s">
        <v>45</v>
      </c>
      <c r="D37" s="19">
        <v>1</v>
      </c>
      <c r="E37" s="18" t="s">
        <v>46</v>
      </c>
      <c r="F37" s="20" t="s">
        <v>57</v>
      </c>
    </row>
    <row r="38" spans="1:6">
      <c r="A38" s="16" t="s">
        <v>88</v>
      </c>
      <c r="B38" s="17" t="s">
        <v>163</v>
      </c>
      <c r="C38" s="18" t="s">
        <v>73</v>
      </c>
      <c r="D38" s="19">
        <v>1</v>
      </c>
      <c r="E38" s="18" t="s">
        <v>46</v>
      </c>
      <c r="F38" s="20" t="s">
        <v>74</v>
      </c>
    </row>
    <row r="39" spans="1:6">
      <c r="A39" s="16" t="s">
        <v>89</v>
      </c>
      <c r="B39" s="17" t="s">
        <v>56</v>
      </c>
      <c r="C39" s="18" t="s">
        <v>45</v>
      </c>
      <c r="D39" s="19">
        <v>1</v>
      </c>
      <c r="E39" s="18" t="s">
        <v>46</v>
      </c>
      <c r="F39" s="20" t="s">
        <v>47</v>
      </c>
    </row>
    <row r="40" spans="1:6">
      <c r="A40" s="16" t="s">
        <v>90</v>
      </c>
      <c r="B40" s="17" t="s">
        <v>163</v>
      </c>
      <c r="C40" s="18" t="s">
        <v>73</v>
      </c>
      <c r="D40" s="19">
        <v>1</v>
      </c>
      <c r="E40" s="18" t="s">
        <v>46</v>
      </c>
      <c r="F40" s="20" t="s">
        <v>74</v>
      </c>
    </row>
    <row r="41" spans="1:6">
      <c r="A41" s="16" t="s">
        <v>91</v>
      </c>
      <c r="B41" s="17" t="s">
        <v>44</v>
      </c>
      <c r="C41" s="18" t="s">
        <v>45</v>
      </c>
      <c r="D41" s="19">
        <v>1</v>
      </c>
      <c r="E41" s="18" t="s">
        <v>53</v>
      </c>
      <c r="F41" s="20" t="s">
        <v>47</v>
      </c>
    </row>
    <row r="42" spans="1:6">
      <c r="A42" s="16" t="s">
        <v>92</v>
      </c>
      <c r="B42" s="17" t="s">
        <v>44</v>
      </c>
      <c r="C42" s="18" t="s">
        <v>73</v>
      </c>
      <c r="D42" s="19">
        <v>1</v>
      </c>
      <c r="E42" s="18" t="s">
        <v>53</v>
      </c>
      <c r="F42" s="20" t="s">
        <v>74</v>
      </c>
    </row>
    <row r="43" spans="1:6">
      <c r="A43" s="16" t="s">
        <v>93</v>
      </c>
      <c r="B43" s="17" t="s">
        <v>44</v>
      </c>
      <c r="C43" s="18" t="s">
        <v>73</v>
      </c>
      <c r="D43" s="19">
        <v>1</v>
      </c>
      <c r="E43" s="18" t="s">
        <v>53</v>
      </c>
      <c r="F43" s="20" t="s">
        <v>74</v>
      </c>
    </row>
    <row r="44" spans="1:6">
      <c r="A44" s="16" t="s">
        <v>94</v>
      </c>
      <c r="B44" s="17" t="s">
        <v>56</v>
      </c>
      <c r="C44" s="18" t="s">
        <v>45</v>
      </c>
      <c r="D44" s="19">
        <v>1</v>
      </c>
      <c r="E44" s="18" t="s">
        <v>53</v>
      </c>
      <c r="F44" s="20" t="s">
        <v>47</v>
      </c>
    </row>
    <row r="45" spans="1:6">
      <c r="A45" s="16" t="s">
        <v>95</v>
      </c>
      <c r="B45" s="17" t="s">
        <v>56</v>
      </c>
      <c r="C45" s="18" t="s">
        <v>45</v>
      </c>
      <c r="D45" s="19">
        <v>1</v>
      </c>
      <c r="E45" s="18" t="s">
        <v>53</v>
      </c>
      <c r="F45" s="20" t="s">
        <v>47</v>
      </c>
    </row>
    <row r="46" spans="1:6">
      <c r="A46" s="16" t="s">
        <v>96</v>
      </c>
      <c r="B46" s="17" t="s">
        <v>56</v>
      </c>
      <c r="C46" s="18" t="s">
        <v>45</v>
      </c>
      <c r="D46" s="19">
        <v>1</v>
      </c>
      <c r="E46" s="18" t="s">
        <v>53</v>
      </c>
      <c r="F46" s="20" t="s">
        <v>57</v>
      </c>
    </row>
    <row r="47" spans="1:6">
      <c r="A47" s="16" t="s">
        <v>97</v>
      </c>
      <c r="B47" s="17" t="s">
        <v>44</v>
      </c>
      <c r="C47" s="18" t="s">
        <v>73</v>
      </c>
      <c r="D47" s="19">
        <v>1</v>
      </c>
      <c r="E47" s="18" t="s">
        <v>53</v>
      </c>
      <c r="F47" s="20" t="s">
        <v>74</v>
      </c>
    </row>
    <row r="48" spans="1:6">
      <c r="A48" s="16" t="s">
        <v>98</v>
      </c>
      <c r="B48" s="17" t="s">
        <v>56</v>
      </c>
      <c r="C48" s="18" t="s">
        <v>45</v>
      </c>
      <c r="D48" s="19">
        <v>1</v>
      </c>
      <c r="E48" s="18" t="s">
        <v>53</v>
      </c>
      <c r="F48" s="20" t="s">
        <v>57</v>
      </c>
    </row>
    <row r="49" spans="1:6">
      <c r="A49" s="16" t="s">
        <v>99</v>
      </c>
      <c r="B49" s="17" t="s">
        <v>3012</v>
      </c>
      <c r="C49" s="18" t="s">
        <v>73</v>
      </c>
      <c r="D49" s="19">
        <v>1</v>
      </c>
      <c r="E49" s="18" t="s">
        <v>53</v>
      </c>
      <c r="F49" s="20" t="s">
        <v>74</v>
      </c>
    </row>
    <row r="50" spans="1:6">
      <c r="A50" s="16" t="s">
        <v>100</v>
      </c>
      <c r="B50" s="17" t="s">
        <v>56</v>
      </c>
      <c r="C50" s="18" t="s">
        <v>45</v>
      </c>
      <c r="D50" s="19">
        <v>1</v>
      </c>
      <c r="E50" s="18" t="s">
        <v>53</v>
      </c>
      <c r="F50" s="20" t="s">
        <v>47</v>
      </c>
    </row>
    <row r="51" spans="1:6">
      <c r="A51" s="16" t="s">
        <v>101</v>
      </c>
      <c r="B51" s="17" t="s">
        <v>163</v>
      </c>
      <c r="C51" s="18" t="s">
        <v>73</v>
      </c>
      <c r="D51" s="19">
        <v>1</v>
      </c>
      <c r="E51" s="18" t="s">
        <v>53</v>
      </c>
      <c r="F51" s="20" t="s">
        <v>74</v>
      </c>
    </row>
    <row r="52" spans="1:6">
      <c r="A52" s="16" t="s">
        <v>102</v>
      </c>
      <c r="B52" s="17" t="s">
        <v>56</v>
      </c>
      <c r="C52" s="18" t="s">
        <v>73</v>
      </c>
      <c r="D52" s="19">
        <v>1</v>
      </c>
      <c r="E52" s="18" t="s">
        <v>53</v>
      </c>
      <c r="F52" s="20" t="s">
        <v>74</v>
      </c>
    </row>
    <row r="53" spans="1:6">
      <c r="A53" s="16" t="s">
        <v>103</v>
      </c>
      <c r="B53" s="17" t="s">
        <v>56</v>
      </c>
      <c r="C53" s="18" t="s">
        <v>73</v>
      </c>
      <c r="D53" s="19">
        <v>1</v>
      </c>
      <c r="E53" s="18" t="s">
        <v>53</v>
      </c>
      <c r="F53" s="20" t="s">
        <v>74</v>
      </c>
    </row>
    <row r="54" spans="1:6">
      <c r="A54" s="16" t="s">
        <v>104</v>
      </c>
      <c r="B54" s="17" t="s">
        <v>163</v>
      </c>
      <c r="C54" s="18" t="s">
        <v>73</v>
      </c>
      <c r="D54" s="19">
        <v>1</v>
      </c>
      <c r="E54" s="18" t="s">
        <v>53</v>
      </c>
      <c r="F54" s="20" t="s">
        <v>74</v>
      </c>
    </row>
    <row r="55" spans="1:6">
      <c r="A55" s="16" t="s">
        <v>105</v>
      </c>
      <c r="B55" s="17" t="s">
        <v>56</v>
      </c>
      <c r="C55" s="18" t="s">
        <v>73</v>
      </c>
      <c r="D55" s="19">
        <v>1</v>
      </c>
      <c r="E55" s="18" t="s">
        <v>53</v>
      </c>
      <c r="F55" s="20" t="s">
        <v>74</v>
      </c>
    </row>
    <row r="56" spans="1:6">
      <c r="A56" s="16" t="s">
        <v>106</v>
      </c>
      <c r="B56" s="17" t="s">
        <v>56</v>
      </c>
      <c r="C56" s="18" t="s">
        <v>73</v>
      </c>
      <c r="D56" s="19">
        <v>1</v>
      </c>
      <c r="E56" s="18" t="s">
        <v>53</v>
      </c>
      <c r="F56" s="20" t="s">
        <v>74</v>
      </c>
    </row>
    <row r="57" spans="1:6">
      <c r="A57" s="16" t="s">
        <v>107</v>
      </c>
      <c r="B57" s="17" t="s">
        <v>56</v>
      </c>
      <c r="C57" s="18" t="s">
        <v>73</v>
      </c>
      <c r="D57" s="19">
        <v>1</v>
      </c>
      <c r="E57" s="18" t="s">
        <v>53</v>
      </c>
      <c r="F57" s="20" t="s">
        <v>74</v>
      </c>
    </row>
    <row r="58" spans="1:6">
      <c r="A58" s="16" t="s">
        <v>108</v>
      </c>
      <c r="B58" s="17" t="s">
        <v>56</v>
      </c>
      <c r="C58" s="18" t="s">
        <v>73</v>
      </c>
      <c r="D58" s="19">
        <v>1</v>
      </c>
      <c r="E58" s="18" t="s">
        <v>53</v>
      </c>
      <c r="F58" s="20" t="s">
        <v>74</v>
      </c>
    </row>
    <row r="59" spans="1:6">
      <c r="A59" s="16" t="s">
        <v>3013</v>
      </c>
      <c r="B59" s="17" t="s">
        <v>56</v>
      </c>
      <c r="C59" s="18" t="s">
        <v>45</v>
      </c>
      <c r="D59" s="19">
        <v>1</v>
      </c>
      <c r="E59" s="18" t="s">
        <v>53</v>
      </c>
      <c r="F59" s="20" t="s">
        <v>57</v>
      </c>
    </row>
    <row r="60" spans="1:6">
      <c r="A60" s="16" t="s">
        <v>110</v>
      </c>
      <c r="B60" s="17" t="s">
        <v>56</v>
      </c>
      <c r="C60" s="18" t="s">
        <v>45</v>
      </c>
      <c r="D60" s="19">
        <v>1</v>
      </c>
      <c r="E60" s="18" t="s">
        <v>53</v>
      </c>
      <c r="F60" s="20" t="s">
        <v>57</v>
      </c>
    </row>
    <row r="61" spans="1:6">
      <c r="A61" s="16" t="s">
        <v>111</v>
      </c>
      <c r="B61" s="17" t="s">
        <v>56</v>
      </c>
      <c r="C61" s="18" t="s">
        <v>45</v>
      </c>
      <c r="D61" s="19">
        <v>1</v>
      </c>
      <c r="E61" s="18" t="s">
        <v>53</v>
      </c>
      <c r="F61" s="20" t="s">
        <v>57</v>
      </c>
    </row>
    <row r="62" spans="1:6">
      <c r="A62" s="16" t="s">
        <v>3014</v>
      </c>
      <c r="B62" s="17" t="s">
        <v>56</v>
      </c>
      <c r="C62" s="18" t="s">
        <v>45</v>
      </c>
      <c r="D62" s="19">
        <v>1</v>
      </c>
      <c r="E62" s="18" t="s">
        <v>53</v>
      </c>
      <c r="F62" s="20" t="s">
        <v>57</v>
      </c>
    </row>
    <row r="63" spans="1:6">
      <c r="A63" s="16" t="s">
        <v>113</v>
      </c>
      <c r="B63" s="17" t="s">
        <v>56</v>
      </c>
      <c r="C63" s="18" t="s">
        <v>45</v>
      </c>
      <c r="D63" s="19">
        <v>1</v>
      </c>
      <c r="E63" s="18" t="s">
        <v>53</v>
      </c>
      <c r="F63" s="20" t="s">
        <v>57</v>
      </c>
    </row>
    <row r="64" spans="1:6">
      <c r="A64" s="16" t="s">
        <v>114</v>
      </c>
      <c r="B64" s="17" t="s">
        <v>56</v>
      </c>
      <c r="C64" s="18" t="s">
        <v>73</v>
      </c>
      <c r="D64" s="19">
        <v>1</v>
      </c>
      <c r="E64" s="18" t="s">
        <v>53</v>
      </c>
      <c r="F64" s="20" t="s">
        <v>74</v>
      </c>
    </row>
    <row r="65" spans="1:6">
      <c r="A65" s="16" t="s">
        <v>115</v>
      </c>
      <c r="B65" s="17" t="s">
        <v>44</v>
      </c>
      <c r="C65" s="18" t="s">
        <v>45</v>
      </c>
      <c r="D65" s="19">
        <v>1</v>
      </c>
      <c r="E65" s="18" t="s">
        <v>53</v>
      </c>
      <c r="F65" s="20" t="s">
        <v>47</v>
      </c>
    </row>
    <row r="66" spans="1:6">
      <c r="A66" s="16" t="s">
        <v>116</v>
      </c>
      <c r="B66" s="17" t="s">
        <v>163</v>
      </c>
      <c r="C66" s="18" t="s">
        <v>73</v>
      </c>
      <c r="D66" s="19">
        <v>1</v>
      </c>
      <c r="E66" s="18" t="s">
        <v>53</v>
      </c>
      <c r="F66" s="20" t="s">
        <v>74</v>
      </c>
    </row>
    <row r="67" spans="1:6">
      <c r="A67" s="16" t="s">
        <v>117</v>
      </c>
      <c r="B67" s="17" t="s">
        <v>56</v>
      </c>
      <c r="C67" s="18" t="s">
        <v>45</v>
      </c>
      <c r="D67" s="19">
        <v>1</v>
      </c>
      <c r="E67" s="18" t="s">
        <v>53</v>
      </c>
      <c r="F67" s="20" t="s">
        <v>57</v>
      </c>
    </row>
    <row r="68" spans="1:6">
      <c r="A68" s="16" t="s">
        <v>118</v>
      </c>
      <c r="B68" s="17" t="s">
        <v>163</v>
      </c>
      <c r="C68" s="18" t="s">
        <v>73</v>
      </c>
      <c r="D68" s="19">
        <v>1</v>
      </c>
      <c r="E68" s="18" t="s">
        <v>53</v>
      </c>
      <c r="F68" s="20" t="s">
        <v>74</v>
      </c>
    </row>
  </sheetData>
  <autoFilter ref="A1:F68" xr:uid="{00000000-0009-0000-0000-000001000000}"/>
  <phoneticPr fontId="22" type="noConversion"/>
  <dataValidations count="1">
    <dataValidation type="list" allowBlank="1" errorTitle="sector 取值不对" error="只能填 company / university / public_rd / individual / exclude" sqref="B2:B68" xr:uid="{00000000-0002-0000-0100-000000000000}">
      <formula1>"company,university,public_rd,individual,exclude"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46"/>
  <sheetViews>
    <sheetView tabSelected="1" zoomScaleNormal="100" workbookViewId="0">
      <pane ySplit="1" topLeftCell="A2228" activePane="bottomLeft" state="frozen"/>
      <selection pane="bottomLeft" activeCell="A2248" sqref="A2248"/>
    </sheetView>
  </sheetViews>
  <sheetFormatPr defaultColWidth="8.69140625" defaultRowHeight="14.6"/>
  <cols>
    <col min="1" max="1" width="58" customWidth="1"/>
    <col min="2" max="2" width="14" customWidth="1"/>
    <col min="3" max="3" width="12" customWidth="1"/>
    <col min="4" max="4" width="9" customWidth="1"/>
    <col min="5" max="5" width="10" customWidth="1"/>
    <col min="6" max="6" width="8" customWidth="1"/>
    <col min="7" max="7" width="50" customWidth="1"/>
  </cols>
  <sheetData>
    <row r="1" spans="1:7" ht="27.75" customHeight="1">
      <c r="A1" s="14" t="s">
        <v>38</v>
      </c>
      <c r="B1" s="15" t="s">
        <v>119</v>
      </c>
      <c r="C1" s="15" t="s">
        <v>120</v>
      </c>
      <c r="D1" s="14" t="s">
        <v>11</v>
      </c>
      <c r="E1" s="14" t="s">
        <v>121</v>
      </c>
      <c r="F1" s="14" t="s">
        <v>41</v>
      </c>
      <c r="G1" s="14" t="s">
        <v>122</v>
      </c>
    </row>
    <row r="2" spans="1:7">
      <c r="A2" s="21" t="s">
        <v>123</v>
      </c>
      <c r="B2" s="22" t="s">
        <v>56</v>
      </c>
      <c r="C2" s="22" t="s">
        <v>124</v>
      </c>
      <c r="D2" s="23">
        <v>1052</v>
      </c>
      <c r="E2" s="24">
        <f>SUM($D$2:D2)/SUM($D$2:$D$2846)</f>
        <v>8.9379779099405268E-2</v>
      </c>
      <c r="F2" s="22" t="s">
        <v>46</v>
      </c>
      <c r="G2" s="25" t="s">
        <v>125</v>
      </c>
    </row>
    <row r="3" spans="1:7">
      <c r="A3" s="21" t="s">
        <v>126</v>
      </c>
      <c r="B3" s="22" t="s">
        <v>44</v>
      </c>
      <c r="C3" s="22" t="s">
        <v>124</v>
      </c>
      <c r="D3" s="23">
        <v>740</v>
      </c>
      <c r="E3" s="24">
        <f>SUM($D$2:D3)/SUM($D$2:$D$2846)</f>
        <v>0.1522514868309261</v>
      </c>
      <c r="F3" s="22" t="s">
        <v>53</v>
      </c>
      <c r="G3" s="25" t="s">
        <v>127</v>
      </c>
    </row>
    <row r="4" spans="1:7">
      <c r="A4" s="21" t="s">
        <v>128</v>
      </c>
      <c r="B4" s="22" t="s">
        <v>129</v>
      </c>
      <c r="C4" s="22" t="s">
        <v>124</v>
      </c>
      <c r="D4" s="23">
        <v>598</v>
      </c>
      <c r="E4" s="24">
        <f>SUM($D$2:D4)/SUM($D$2:$D$2846)</f>
        <v>0.20305862361937127</v>
      </c>
      <c r="F4" s="22" t="s">
        <v>53</v>
      </c>
      <c r="G4" s="25" t="s">
        <v>130</v>
      </c>
    </row>
    <row r="5" spans="1:7">
      <c r="A5" s="21" t="s">
        <v>131</v>
      </c>
      <c r="B5" s="22" t="s">
        <v>56</v>
      </c>
      <c r="C5" s="22" t="s">
        <v>124</v>
      </c>
      <c r="D5" s="23">
        <v>459</v>
      </c>
      <c r="E5" s="24">
        <f>SUM($D$2:D5)/SUM($D$2:$D$2846)</f>
        <v>0.24205607476635513</v>
      </c>
      <c r="F5" s="22" t="s">
        <v>53</v>
      </c>
      <c r="G5" s="25" t="s">
        <v>125</v>
      </c>
    </row>
    <row r="6" spans="1:7">
      <c r="A6" s="21" t="s">
        <v>132</v>
      </c>
      <c r="B6" s="22" t="s">
        <v>129</v>
      </c>
      <c r="C6" s="22" t="s">
        <v>124</v>
      </c>
      <c r="D6" s="23">
        <v>391</v>
      </c>
      <c r="E6" s="24">
        <f>SUM($D$2:D6)/SUM($D$2:$D$2846)</f>
        <v>0.27527612574341548</v>
      </c>
      <c r="F6" s="22" t="s">
        <v>53</v>
      </c>
      <c r="G6" s="25" t="s">
        <v>130</v>
      </c>
    </row>
    <row r="7" spans="1:7">
      <c r="A7" s="21" t="s">
        <v>133</v>
      </c>
      <c r="B7" s="22" t="s">
        <v>56</v>
      </c>
      <c r="C7" s="22" t="s">
        <v>124</v>
      </c>
      <c r="D7" s="23">
        <v>311</v>
      </c>
      <c r="E7" s="24">
        <f>SUM($D$2:D7)/SUM($D$2:$D$2846)</f>
        <v>0.30169923534409515</v>
      </c>
      <c r="F7" s="22" t="s">
        <v>53</v>
      </c>
      <c r="G7" s="25" t="s">
        <v>125</v>
      </c>
    </row>
    <row r="8" spans="1:7">
      <c r="A8" s="21" t="s">
        <v>134</v>
      </c>
      <c r="B8" s="22" t="s">
        <v>129</v>
      </c>
      <c r="C8" s="22" t="s">
        <v>124</v>
      </c>
      <c r="D8" s="23">
        <v>184</v>
      </c>
      <c r="E8" s="24">
        <f>SUM($D$2:D8)/SUM($D$2:$D$2846)</f>
        <v>0.31733220050977062</v>
      </c>
      <c r="F8" s="22" t="s">
        <v>46</v>
      </c>
      <c r="G8" s="25" t="s">
        <v>130</v>
      </c>
    </row>
    <row r="9" spans="1:7">
      <c r="A9" s="21" t="s">
        <v>135</v>
      </c>
      <c r="B9" s="22" t="s">
        <v>56</v>
      </c>
      <c r="C9" s="22" t="s">
        <v>124</v>
      </c>
      <c r="D9" s="23">
        <v>180</v>
      </c>
      <c r="E9" s="24">
        <f>SUM($D$2:D9)/SUM($D$2:$D$2846)</f>
        <v>0.33262531860662703</v>
      </c>
      <c r="F9" s="22" t="s">
        <v>53</v>
      </c>
      <c r="G9" s="25" t="s">
        <v>125</v>
      </c>
    </row>
    <row r="10" spans="1:7">
      <c r="A10" s="21" t="s">
        <v>136</v>
      </c>
      <c r="B10" s="22" t="s">
        <v>44</v>
      </c>
      <c r="C10" s="22" t="s">
        <v>124</v>
      </c>
      <c r="D10" s="23">
        <v>173</v>
      </c>
      <c r="E10" s="24">
        <f>SUM($D$2:D10)/SUM($D$2:$D$2846)</f>
        <v>0.34732370433305015</v>
      </c>
      <c r="F10" s="22" t="s">
        <v>53</v>
      </c>
      <c r="G10" s="25" t="s">
        <v>137</v>
      </c>
    </row>
    <row r="11" spans="1:7">
      <c r="A11" s="21" t="s">
        <v>138</v>
      </c>
      <c r="B11" s="22" t="s">
        <v>56</v>
      </c>
      <c r="C11" s="22" t="s">
        <v>124</v>
      </c>
      <c r="D11" s="23">
        <v>147</v>
      </c>
      <c r="E11" s="24">
        <f>SUM($D$2:D11)/SUM($D$2:$D$2846)</f>
        <v>0.35981308411214952</v>
      </c>
      <c r="F11" s="22" t="s">
        <v>53</v>
      </c>
      <c r="G11" s="25" t="s">
        <v>125</v>
      </c>
    </row>
    <row r="12" spans="1:7">
      <c r="A12" s="21" t="s">
        <v>139</v>
      </c>
      <c r="B12" s="22" t="s">
        <v>56</v>
      </c>
      <c r="C12" s="22" t="s">
        <v>124</v>
      </c>
      <c r="D12" s="23">
        <v>129</v>
      </c>
      <c r="E12" s="24">
        <f>SUM($D$2:D12)/SUM($D$2:$D$2846)</f>
        <v>0.37077315208156331</v>
      </c>
      <c r="F12" s="22" t="s">
        <v>53</v>
      </c>
      <c r="G12" s="25" t="s">
        <v>125</v>
      </c>
    </row>
    <row r="13" spans="1:7">
      <c r="A13" s="21" t="s">
        <v>140</v>
      </c>
      <c r="B13" s="22" t="s">
        <v>56</v>
      </c>
      <c r="C13" s="22" t="s">
        <v>124</v>
      </c>
      <c r="D13" s="23">
        <v>112</v>
      </c>
      <c r="E13" s="24">
        <f>SUM($D$2:D13)/SUM($D$2:$D$2846)</f>
        <v>0.38028887000849615</v>
      </c>
      <c r="F13" s="22" t="s">
        <v>53</v>
      </c>
      <c r="G13" s="25" t="s">
        <v>125</v>
      </c>
    </row>
    <row r="14" spans="1:7">
      <c r="A14" s="21" t="s">
        <v>141</v>
      </c>
      <c r="B14" s="22" t="s">
        <v>56</v>
      </c>
      <c r="C14" s="22" t="s">
        <v>124</v>
      </c>
      <c r="D14" s="23">
        <v>111</v>
      </c>
      <c r="E14" s="24">
        <f>SUM($D$2:D14)/SUM($D$2:$D$2846)</f>
        <v>0.38971962616822431</v>
      </c>
      <c r="F14" s="22" t="s">
        <v>53</v>
      </c>
      <c r="G14" s="25" t="s">
        <v>125</v>
      </c>
    </row>
    <row r="15" spans="1:7">
      <c r="A15" s="21" t="s">
        <v>142</v>
      </c>
      <c r="B15" s="22" t="s">
        <v>56</v>
      </c>
      <c r="C15" s="22" t="s">
        <v>124</v>
      </c>
      <c r="D15" s="23">
        <v>88</v>
      </c>
      <c r="E15" s="24">
        <f>SUM($D$2:D15)/SUM($D$2:$D$2846)</f>
        <v>0.39719626168224298</v>
      </c>
      <c r="F15" s="22" t="s">
        <v>53</v>
      </c>
      <c r="G15" s="25" t="s">
        <v>125</v>
      </c>
    </row>
    <row r="16" spans="1:7">
      <c r="A16" s="21" t="s">
        <v>143</v>
      </c>
      <c r="B16" s="22" t="s">
        <v>129</v>
      </c>
      <c r="C16" s="22" t="s">
        <v>124</v>
      </c>
      <c r="D16" s="23">
        <v>87</v>
      </c>
      <c r="E16" s="24">
        <f>SUM($D$2:D16)/SUM($D$2:$D$2846)</f>
        <v>0.40458793542905691</v>
      </c>
      <c r="F16" s="22" t="s">
        <v>46</v>
      </c>
      <c r="G16" s="25" t="s">
        <v>130</v>
      </c>
    </row>
    <row r="17" spans="1:7">
      <c r="A17" s="21" t="s">
        <v>144</v>
      </c>
      <c r="B17" s="22" t="s">
        <v>56</v>
      </c>
      <c r="C17" s="22" t="s">
        <v>124</v>
      </c>
      <c r="D17" s="23">
        <v>71</v>
      </c>
      <c r="E17" s="24">
        <f>SUM($D$2:D17)/SUM($D$2:$D$2846)</f>
        <v>0.41062022090059475</v>
      </c>
      <c r="F17" s="22" t="s">
        <v>53</v>
      </c>
      <c r="G17" s="25" t="s">
        <v>125</v>
      </c>
    </row>
    <row r="18" spans="1:7">
      <c r="A18" s="21" t="s">
        <v>145</v>
      </c>
      <c r="B18" s="22" t="s">
        <v>56</v>
      </c>
      <c r="C18" s="22" t="s">
        <v>124</v>
      </c>
      <c r="D18" s="23">
        <v>65</v>
      </c>
      <c r="E18" s="24">
        <f>SUM($D$2:D18)/SUM($D$2:$D$2846)</f>
        <v>0.41614273576890398</v>
      </c>
      <c r="F18" s="22" t="s">
        <v>53</v>
      </c>
      <c r="G18" s="25" t="s">
        <v>125</v>
      </c>
    </row>
    <row r="19" spans="1:7">
      <c r="A19" s="21" t="s">
        <v>146</v>
      </c>
      <c r="B19" s="22" t="s">
        <v>56</v>
      </c>
      <c r="C19" s="22" t="s">
        <v>124</v>
      </c>
      <c r="D19" s="23">
        <v>64</v>
      </c>
      <c r="E19" s="24">
        <f>SUM($D$2:D19)/SUM($D$2:$D$2846)</f>
        <v>0.42158028887000848</v>
      </c>
      <c r="F19" s="22" t="s">
        <v>53</v>
      </c>
      <c r="G19" s="25" t="s">
        <v>125</v>
      </c>
    </row>
    <row r="20" spans="1:7">
      <c r="A20" s="21" t="s">
        <v>147</v>
      </c>
      <c r="B20" s="22" t="s">
        <v>129</v>
      </c>
      <c r="C20" s="22" t="s">
        <v>124</v>
      </c>
      <c r="D20" s="23">
        <v>62</v>
      </c>
      <c r="E20" s="24">
        <f>SUM($D$2:D20)/SUM($D$2:$D$2846)</f>
        <v>0.4268479184367035</v>
      </c>
      <c r="F20" s="22" t="s">
        <v>53</v>
      </c>
      <c r="G20" s="25" t="s">
        <v>130</v>
      </c>
    </row>
    <row r="21" spans="1:7">
      <c r="A21" s="21" t="s">
        <v>148</v>
      </c>
      <c r="B21" s="22" t="s">
        <v>56</v>
      </c>
      <c r="C21" s="22" t="s">
        <v>124</v>
      </c>
      <c r="D21" s="23">
        <v>60</v>
      </c>
      <c r="E21" s="24">
        <f>SUM($D$2:D21)/SUM($D$2:$D$2846)</f>
        <v>0.43194562446898893</v>
      </c>
      <c r="F21" s="22" t="s">
        <v>53</v>
      </c>
      <c r="G21" s="25" t="s">
        <v>125</v>
      </c>
    </row>
    <row r="22" spans="1:7">
      <c r="A22" s="21" t="s">
        <v>149</v>
      </c>
      <c r="B22" s="22" t="s">
        <v>44</v>
      </c>
      <c r="C22" s="22" t="s">
        <v>124</v>
      </c>
      <c r="D22" s="23">
        <v>59</v>
      </c>
      <c r="E22" s="24">
        <f>SUM($D$2:D22)/SUM($D$2:$D$2846)</f>
        <v>0.43695836873406968</v>
      </c>
      <c r="F22" s="22" t="s">
        <v>53</v>
      </c>
      <c r="G22" s="25" t="s">
        <v>150</v>
      </c>
    </row>
    <row r="23" spans="1:7">
      <c r="A23" s="21" t="s">
        <v>151</v>
      </c>
      <c r="B23" s="22" t="s">
        <v>56</v>
      </c>
      <c r="C23" s="22" t="s">
        <v>124</v>
      </c>
      <c r="D23" s="23">
        <v>58</v>
      </c>
      <c r="E23" s="24">
        <f>SUM($D$2:D23)/SUM($D$2:$D$2846)</f>
        <v>0.44188615123194563</v>
      </c>
      <c r="F23" s="22" t="s">
        <v>53</v>
      </c>
      <c r="G23" s="25" t="s">
        <v>125</v>
      </c>
    </row>
    <row r="24" spans="1:7">
      <c r="A24" s="21" t="s">
        <v>152</v>
      </c>
      <c r="B24" s="22" t="s">
        <v>129</v>
      </c>
      <c r="C24" s="22" t="s">
        <v>124</v>
      </c>
      <c r="D24" s="23">
        <v>56</v>
      </c>
      <c r="E24" s="24">
        <f>SUM($D$2:D24)/SUM($D$2:$D$2846)</f>
        <v>0.44664401019541206</v>
      </c>
      <c r="F24" s="22" t="s">
        <v>46</v>
      </c>
      <c r="G24" s="25" t="s">
        <v>130</v>
      </c>
    </row>
    <row r="25" spans="1:7">
      <c r="A25" s="21" t="s">
        <v>153</v>
      </c>
      <c r="B25" s="22" t="s">
        <v>44</v>
      </c>
      <c r="C25" s="22" t="s">
        <v>124</v>
      </c>
      <c r="D25" s="23">
        <v>55</v>
      </c>
      <c r="E25" s="24">
        <f>SUM($D$2:D25)/SUM($D$2:$D$2846)</f>
        <v>0.45131690739167374</v>
      </c>
      <c r="F25" s="22" t="s">
        <v>46</v>
      </c>
      <c r="G25" s="25" t="s">
        <v>154</v>
      </c>
    </row>
    <row r="26" spans="1:7">
      <c r="A26" s="21" t="s">
        <v>155</v>
      </c>
      <c r="B26" s="22" t="s">
        <v>56</v>
      </c>
      <c r="C26" s="22" t="s">
        <v>124</v>
      </c>
      <c r="D26" s="23">
        <v>53</v>
      </c>
      <c r="E26" s="24">
        <f>SUM($D$2:D26)/SUM($D$2:$D$2846)</f>
        <v>0.45581988105352589</v>
      </c>
      <c r="F26" s="22" t="s">
        <v>46</v>
      </c>
      <c r="G26" s="25" t="s">
        <v>125</v>
      </c>
    </row>
    <row r="27" spans="1:7">
      <c r="A27" s="21" t="s">
        <v>156</v>
      </c>
      <c r="B27" s="22" t="s">
        <v>56</v>
      </c>
      <c r="C27" s="22" t="s">
        <v>124</v>
      </c>
      <c r="D27" s="23">
        <v>52</v>
      </c>
      <c r="E27" s="24">
        <f>SUM($D$2:D27)/SUM($D$2:$D$2846)</f>
        <v>0.4602378929481733</v>
      </c>
      <c r="F27" s="22" t="s">
        <v>46</v>
      </c>
      <c r="G27" s="25" t="s">
        <v>125</v>
      </c>
    </row>
    <row r="28" spans="1:7">
      <c r="A28" s="21" t="s">
        <v>157</v>
      </c>
      <c r="B28" s="22" t="s">
        <v>56</v>
      </c>
      <c r="C28" s="22" t="s">
        <v>124</v>
      </c>
      <c r="D28" s="23">
        <v>50</v>
      </c>
      <c r="E28" s="24">
        <f>SUM($D$2:D28)/SUM($D$2:$D$2846)</f>
        <v>0.46448598130841123</v>
      </c>
      <c r="F28" s="22" t="s">
        <v>53</v>
      </c>
      <c r="G28" s="25" t="s">
        <v>125</v>
      </c>
    </row>
    <row r="29" spans="1:7">
      <c r="A29" s="21" t="s">
        <v>158</v>
      </c>
      <c r="B29" s="22" t="s">
        <v>129</v>
      </c>
      <c r="C29" s="22" t="s">
        <v>124</v>
      </c>
      <c r="D29" s="23">
        <v>49</v>
      </c>
      <c r="E29" s="24">
        <f>SUM($D$2:D29)/SUM($D$2:$D$2846)</f>
        <v>0.46864910790144437</v>
      </c>
      <c r="F29" s="22" t="s">
        <v>46</v>
      </c>
      <c r="G29" s="25" t="s">
        <v>130</v>
      </c>
    </row>
    <row r="30" spans="1:7">
      <c r="A30" s="21" t="s">
        <v>159</v>
      </c>
      <c r="B30" s="22" t="s">
        <v>56</v>
      </c>
      <c r="C30" s="22" t="s">
        <v>124</v>
      </c>
      <c r="D30" s="23">
        <v>48</v>
      </c>
      <c r="E30" s="24">
        <f>SUM($D$2:D30)/SUM($D$2:$D$2846)</f>
        <v>0.47272727272727272</v>
      </c>
      <c r="F30" s="22" t="s">
        <v>53</v>
      </c>
      <c r="G30" s="25" t="s">
        <v>125</v>
      </c>
    </row>
    <row r="31" spans="1:7">
      <c r="A31" s="21" t="s">
        <v>160</v>
      </c>
      <c r="B31" s="22" t="s">
        <v>56</v>
      </c>
      <c r="C31" s="22" t="s">
        <v>124</v>
      </c>
      <c r="D31" s="23">
        <v>46</v>
      </c>
      <c r="E31" s="24">
        <f>SUM($D$2:D31)/SUM($D$2:$D$2846)</f>
        <v>0.47663551401869159</v>
      </c>
      <c r="F31" s="22" t="s">
        <v>53</v>
      </c>
      <c r="G31" s="25" t="s">
        <v>125</v>
      </c>
    </row>
    <row r="32" spans="1:7">
      <c r="A32" s="21" t="s">
        <v>161</v>
      </c>
      <c r="B32" s="22" t="s">
        <v>129</v>
      </c>
      <c r="C32" s="22" t="s">
        <v>124</v>
      </c>
      <c r="D32" s="23">
        <v>43</v>
      </c>
      <c r="E32" s="24">
        <f>SUM($D$2:D32)/SUM($D$2:$D$2846)</f>
        <v>0.48028887000849618</v>
      </c>
      <c r="F32" s="22" t="s">
        <v>53</v>
      </c>
      <c r="G32" s="25" t="s">
        <v>130</v>
      </c>
    </row>
    <row r="33" spans="1:7">
      <c r="A33" s="21" t="s">
        <v>162</v>
      </c>
      <c r="B33" s="26" t="s">
        <v>163</v>
      </c>
      <c r="C33" s="22" t="s">
        <v>45</v>
      </c>
      <c r="D33" s="23">
        <v>41</v>
      </c>
      <c r="E33" s="24">
        <f>SUM($D$2:D33)/SUM($D$2:$D$2846)</f>
        <v>0.48377230246389125</v>
      </c>
      <c r="F33" s="22" t="s">
        <v>53</v>
      </c>
      <c r="G33" s="25" t="s">
        <v>164</v>
      </c>
    </row>
    <row r="34" spans="1:7">
      <c r="A34" s="21" t="s">
        <v>165</v>
      </c>
      <c r="B34" s="22" t="s">
        <v>56</v>
      </c>
      <c r="C34" s="22" t="s">
        <v>124</v>
      </c>
      <c r="D34" s="23">
        <v>39</v>
      </c>
      <c r="E34" s="24">
        <f>SUM($D$2:D34)/SUM($D$2:$D$2846)</f>
        <v>0.48708581138487683</v>
      </c>
      <c r="F34" s="22" t="s">
        <v>46</v>
      </c>
      <c r="G34" s="25" t="s">
        <v>125</v>
      </c>
    </row>
    <row r="35" spans="1:7">
      <c r="A35" s="21" t="s">
        <v>166</v>
      </c>
      <c r="B35" s="22" t="s">
        <v>56</v>
      </c>
      <c r="C35" s="22" t="s">
        <v>124</v>
      </c>
      <c r="D35" s="23">
        <v>39</v>
      </c>
      <c r="E35" s="24">
        <f>SUM($D$2:D35)/SUM($D$2:$D$2846)</f>
        <v>0.49039932030586236</v>
      </c>
      <c r="F35" s="22" t="s">
        <v>53</v>
      </c>
      <c r="G35" s="25" t="s">
        <v>125</v>
      </c>
    </row>
    <row r="36" spans="1:7">
      <c r="A36" s="21" t="s">
        <v>167</v>
      </c>
      <c r="B36" s="22" t="s">
        <v>129</v>
      </c>
      <c r="C36" s="22" t="s">
        <v>124</v>
      </c>
      <c r="D36" s="23">
        <v>38</v>
      </c>
      <c r="E36" s="24">
        <f>SUM($D$2:D36)/SUM($D$2:$D$2846)</f>
        <v>0.49362786745964315</v>
      </c>
      <c r="F36" s="22" t="s">
        <v>46</v>
      </c>
      <c r="G36" s="25" t="s">
        <v>168</v>
      </c>
    </row>
    <row r="37" spans="1:7">
      <c r="A37" s="21" t="s">
        <v>169</v>
      </c>
      <c r="B37" s="22" t="s">
        <v>56</v>
      </c>
      <c r="C37" s="22" t="s">
        <v>124</v>
      </c>
      <c r="D37" s="23">
        <v>36</v>
      </c>
      <c r="E37" s="24">
        <f>SUM($D$2:D37)/SUM($D$2:$D$2846)</f>
        <v>0.49668649107901447</v>
      </c>
      <c r="F37" s="22" t="s">
        <v>46</v>
      </c>
      <c r="G37" s="25" t="s">
        <v>125</v>
      </c>
    </row>
    <row r="38" spans="1:7">
      <c r="A38" s="21" t="s">
        <v>170</v>
      </c>
      <c r="B38" s="22" t="s">
        <v>56</v>
      </c>
      <c r="C38" s="22" t="s">
        <v>124</v>
      </c>
      <c r="D38" s="23">
        <v>36</v>
      </c>
      <c r="E38" s="24">
        <f>SUM($D$2:D38)/SUM($D$2:$D$2846)</f>
        <v>0.49974511469838573</v>
      </c>
      <c r="F38" s="22" t="s">
        <v>53</v>
      </c>
      <c r="G38" s="25" t="s">
        <v>125</v>
      </c>
    </row>
    <row r="39" spans="1:7">
      <c r="A39" s="21" t="s">
        <v>171</v>
      </c>
      <c r="B39" s="22" t="s">
        <v>56</v>
      </c>
      <c r="C39" s="22" t="s">
        <v>124</v>
      </c>
      <c r="D39" s="23">
        <v>35</v>
      </c>
      <c r="E39" s="24">
        <f>SUM($D$2:D39)/SUM($D$2:$D$2846)</f>
        <v>0.5027187765505523</v>
      </c>
      <c r="F39" s="22" t="s">
        <v>53</v>
      </c>
      <c r="G39" s="25" t="s">
        <v>125</v>
      </c>
    </row>
    <row r="40" spans="1:7">
      <c r="A40" s="21" t="s">
        <v>172</v>
      </c>
      <c r="B40" s="22" t="s">
        <v>129</v>
      </c>
      <c r="C40" s="22" t="s">
        <v>124</v>
      </c>
      <c r="D40" s="23">
        <v>33</v>
      </c>
      <c r="E40" s="24">
        <f>SUM($D$2:D40)/SUM($D$2:$D$2846)</f>
        <v>0.50552251486830924</v>
      </c>
      <c r="F40" s="22" t="s">
        <v>46</v>
      </c>
      <c r="G40" s="25" t="s">
        <v>130</v>
      </c>
    </row>
    <row r="41" spans="1:7">
      <c r="A41" s="21" t="s">
        <v>173</v>
      </c>
      <c r="B41" s="22" t="s">
        <v>56</v>
      </c>
      <c r="C41" s="22" t="s">
        <v>124</v>
      </c>
      <c r="D41" s="23">
        <v>32</v>
      </c>
      <c r="E41" s="24">
        <f>SUM($D$2:D41)/SUM($D$2:$D$2846)</f>
        <v>0.50824129141886154</v>
      </c>
      <c r="F41" s="22" t="s">
        <v>53</v>
      </c>
      <c r="G41" s="25" t="s">
        <v>125</v>
      </c>
    </row>
    <row r="42" spans="1:7">
      <c r="A42" s="21" t="s">
        <v>174</v>
      </c>
      <c r="B42" s="22" t="s">
        <v>56</v>
      </c>
      <c r="C42" s="22" t="s">
        <v>124</v>
      </c>
      <c r="D42" s="23">
        <v>31</v>
      </c>
      <c r="E42" s="24">
        <f>SUM($D$2:D42)/SUM($D$2:$D$2846)</f>
        <v>0.510875106202209</v>
      </c>
      <c r="F42" s="22" t="s">
        <v>53</v>
      </c>
      <c r="G42" s="25" t="s">
        <v>125</v>
      </c>
    </row>
    <row r="43" spans="1:7">
      <c r="A43" s="21" t="s">
        <v>175</v>
      </c>
      <c r="B43" s="22" t="s">
        <v>56</v>
      </c>
      <c r="C43" s="22" t="s">
        <v>124</v>
      </c>
      <c r="D43" s="23">
        <v>30</v>
      </c>
      <c r="E43" s="24">
        <f>SUM($D$2:D43)/SUM($D$2:$D$2846)</f>
        <v>0.51342395921835171</v>
      </c>
      <c r="F43" s="22" t="s">
        <v>53</v>
      </c>
      <c r="G43" s="25" t="s">
        <v>125</v>
      </c>
    </row>
    <row r="44" spans="1:7">
      <c r="A44" s="21" t="s">
        <v>176</v>
      </c>
      <c r="B44" s="22" t="s">
        <v>56</v>
      </c>
      <c r="C44" s="22" t="s">
        <v>124</v>
      </c>
      <c r="D44" s="23">
        <v>30</v>
      </c>
      <c r="E44" s="24">
        <f>SUM($D$2:D44)/SUM($D$2:$D$2846)</f>
        <v>0.51597281223449443</v>
      </c>
      <c r="F44" s="22" t="s">
        <v>53</v>
      </c>
      <c r="G44" s="25" t="s">
        <v>125</v>
      </c>
    </row>
    <row r="45" spans="1:7">
      <c r="A45" s="21" t="s">
        <v>177</v>
      </c>
      <c r="B45" s="22" t="s">
        <v>56</v>
      </c>
      <c r="C45" s="22" t="s">
        <v>124</v>
      </c>
      <c r="D45" s="23">
        <v>29</v>
      </c>
      <c r="E45" s="24">
        <f>SUM($D$2:D45)/SUM($D$2:$D$2846)</f>
        <v>0.5184367034834324</v>
      </c>
      <c r="F45" s="22" t="s">
        <v>53</v>
      </c>
      <c r="G45" s="25" t="s">
        <v>125</v>
      </c>
    </row>
    <row r="46" spans="1:7">
      <c r="A46" s="21" t="s">
        <v>178</v>
      </c>
      <c r="B46" s="22" t="s">
        <v>44</v>
      </c>
      <c r="C46" s="22" t="s">
        <v>124</v>
      </c>
      <c r="D46" s="23">
        <v>29</v>
      </c>
      <c r="E46" s="24">
        <f>SUM($D$2:D46)/SUM($D$2:$D$2846)</f>
        <v>0.52090059473237038</v>
      </c>
      <c r="F46" s="22" t="s">
        <v>53</v>
      </c>
      <c r="G46" s="25" t="s">
        <v>179</v>
      </c>
    </row>
    <row r="47" spans="1:7">
      <c r="A47" s="21" t="s">
        <v>180</v>
      </c>
      <c r="B47" s="22" t="s">
        <v>56</v>
      </c>
      <c r="C47" s="22" t="s">
        <v>124</v>
      </c>
      <c r="D47" s="23">
        <v>28</v>
      </c>
      <c r="E47" s="24">
        <f>SUM($D$2:D47)/SUM($D$2:$D$2846)</f>
        <v>0.52327952421410362</v>
      </c>
      <c r="F47" s="22" t="s">
        <v>53</v>
      </c>
      <c r="G47" s="25" t="s">
        <v>125</v>
      </c>
    </row>
    <row r="48" spans="1:7">
      <c r="A48" s="21" t="s">
        <v>181</v>
      </c>
      <c r="B48" s="22" t="s">
        <v>56</v>
      </c>
      <c r="C48" s="22" t="s">
        <v>124</v>
      </c>
      <c r="D48" s="23">
        <v>28</v>
      </c>
      <c r="E48" s="24">
        <f>SUM($D$2:D48)/SUM($D$2:$D$2846)</f>
        <v>0.52565845369583686</v>
      </c>
      <c r="F48" s="22" t="s">
        <v>53</v>
      </c>
      <c r="G48" s="25" t="s">
        <v>125</v>
      </c>
    </row>
    <row r="49" spans="1:7">
      <c r="A49" s="21" t="s">
        <v>182</v>
      </c>
      <c r="B49" s="22" t="s">
        <v>56</v>
      </c>
      <c r="C49" s="22" t="s">
        <v>124</v>
      </c>
      <c r="D49" s="23">
        <v>26</v>
      </c>
      <c r="E49" s="24">
        <f>SUM($D$2:D49)/SUM($D$2:$D$2846)</f>
        <v>0.52786745964316062</v>
      </c>
      <c r="F49" s="22" t="s">
        <v>53</v>
      </c>
      <c r="G49" s="25" t="s">
        <v>125</v>
      </c>
    </row>
    <row r="50" spans="1:7">
      <c r="A50" s="21" t="s">
        <v>183</v>
      </c>
      <c r="B50" s="22" t="s">
        <v>44</v>
      </c>
      <c r="C50" s="22" t="s">
        <v>124</v>
      </c>
      <c r="D50" s="23">
        <v>26</v>
      </c>
      <c r="E50" s="24">
        <f>SUM($D$2:D50)/SUM($D$2:$D$2846)</f>
        <v>0.53007646559048427</v>
      </c>
      <c r="F50" s="22" t="s">
        <v>53</v>
      </c>
      <c r="G50" s="25" t="s">
        <v>125</v>
      </c>
    </row>
    <row r="51" spans="1:7">
      <c r="A51" s="21" t="s">
        <v>184</v>
      </c>
      <c r="B51" s="22" t="s">
        <v>56</v>
      </c>
      <c r="C51" s="22" t="s">
        <v>124</v>
      </c>
      <c r="D51" s="23">
        <v>25</v>
      </c>
      <c r="E51" s="24">
        <f>SUM($D$2:D51)/SUM($D$2:$D$2846)</f>
        <v>0.53220050977060318</v>
      </c>
      <c r="F51" s="22" t="s">
        <v>53</v>
      </c>
      <c r="G51" s="25" t="s">
        <v>125</v>
      </c>
    </row>
    <row r="52" spans="1:7">
      <c r="A52" s="21" t="s">
        <v>185</v>
      </c>
      <c r="B52" s="22" t="s">
        <v>56</v>
      </c>
      <c r="C52" s="22" t="s">
        <v>124</v>
      </c>
      <c r="D52" s="23">
        <v>25</v>
      </c>
      <c r="E52" s="24">
        <f>SUM($D$2:D52)/SUM($D$2:$D$2846)</f>
        <v>0.5343245539507222</v>
      </c>
      <c r="F52" s="22" t="s">
        <v>53</v>
      </c>
      <c r="G52" s="25" t="s">
        <v>125</v>
      </c>
    </row>
    <row r="53" spans="1:7">
      <c r="A53" s="21" t="s">
        <v>186</v>
      </c>
      <c r="B53" s="22" t="s">
        <v>44</v>
      </c>
      <c r="C53" s="22" t="s">
        <v>124</v>
      </c>
      <c r="D53" s="23">
        <v>24</v>
      </c>
      <c r="E53" s="24">
        <f>SUM($D$2:D53)/SUM($D$2:$D$2846)</f>
        <v>0.53636363636363638</v>
      </c>
      <c r="F53" s="22" t="s">
        <v>46</v>
      </c>
      <c r="G53" s="25" t="s">
        <v>187</v>
      </c>
    </row>
    <row r="54" spans="1:7">
      <c r="A54" s="21" t="s">
        <v>188</v>
      </c>
      <c r="B54" s="22" t="s">
        <v>56</v>
      </c>
      <c r="C54" s="22" t="s">
        <v>124</v>
      </c>
      <c r="D54" s="23">
        <v>24</v>
      </c>
      <c r="E54" s="24">
        <f>SUM($D$2:D54)/SUM($D$2:$D$2846)</f>
        <v>0.53840271877655055</v>
      </c>
      <c r="F54" s="22" t="s">
        <v>53</v>
      </c>
      <c r="G54" s="25" t="s">
        <v>125</v>
      </c>
    </row>
    <row r="55" spans="1:7">
      <c r="A55" s="21" t="s">
        <v>189</v>
      </c>
      <c r="B55" s="22" t="s">
        <v>56</v>
      </c>
      <c r="C55" s="22" t="s">
        <v>124</v>
      </c>
      <c r="D55" s="23">
        <v>23</v>
      </c>
      <c r="E55" s="24">
        <f>SUM($D$2:D55)/SUM($D$2:$D$2846)</f>
        <v>0.54035683942225998</v>
      </c>
      <c r="F55" s="22" t="s">
        <v>46</v>
      </c>
      <c r="G55" s="25" t="s">
        <v>125</v>
      </c>
    </row>
    <row r="56" spans="1:7">
      <c r="A56" s="21" t="s">
        <v>190</v>
      </c>
      <c r="B56" s="22" t="s">
        <v>56</v>
      </c>
      <c r="C56" s="22" t="s">
        <v>124</v>
      </c>
      <c r="D56" s="23">
        <v>22</v>
      </c>
      <c r="E56" s="24">
        <f>SUM($D$2:D56)/SUM($D$2:$D$2846)</f>
        <v>0.54222599830076468</v>
      </c>
      <c r="F56" s="22" t="s">
        <v>53</v>
      </c>
      <c r="G56" s="25" t="s">
        <v>125</v>
      </c>
    </row>
    <row r="57" spans="1:7">
      <c r="A57" s="21" t="s">
        <v>191</v>
      </c>
      <c r="B57" s="22" t="s">
        <v>56</v>
      </c>
      <c r="C57" s="22" t="s">
        <v>124</v>
      </c>
      <c r="D57" s="23">
        <v>21</v>
      </c>
      <c r="E57" s="24">
        <f>SUM($D$2:D57)/SUM($D$2:$D$2846)</f>
        <v>0.54401019541206452</v>
      </c>
      <c r="F57" s="22" t="s">
        <v>46</v>
      </c>
      <c r="G57" s="25" t="s">
        <v>125</v>
      </c>
    </row>
    <row r="58" spans="1:7">
      <c r="A58" s="21" t="s">
        <v>192</v>
      </c>
      <c r="B58" s="22" t="s">
        <v>56</v>
      </c>
      <c r="C58" s="22" t="s">
        <v>124</v>
      </c>
      <c r="D58" s="23">
        <v>20</v>
      </c>
      <c r="E58" s="24">
        <f>SUM($D$2:D58)/SUM($D$2:$D$2846)</f>
        <v>0.54570943075615974</v>
      </c>
      <c r="F58" s="22" t="s">
        <v>53</v>
      </c>
      <c r="G58" s="25" t="s">
        <v>125</v>
      </c>
    </row>
    <row r="59" spans="1:7">
      <c r="A59" s="21" t="s">
        <v>193</v>
      </c>
      <c r="B59" s="22" t="s">
        <v>44</v>
      </c>
      <c r="C59" s="22" t="s">
        <v>124</v>
      </c>
      <c r="D59" s="23">
        <v>19</v>
      </c>
      <c r="E59" s="24">
        <f>SUM($D$2:D59)/SUM($D$2:$D$2846)</f>
        <v>0.54732370433305011</v>
      </c>
      <c r="F59" s="22" t="s">
        <v>53</v>
      </c>
      <c r="G59" s="25" t="s">
        <v>194</v>
      </c>
    </row>
    <row r="60" spans="1:7">
      <c r="A60" s="21" t="s">
        <v>195</v>
      </c>
      <c r="B60" s="22" t="s">
        <v>56</v>
      </c>
      <c r="C60" s="22" t="s">
        <v>124</v>
      </c>
      <c r="D60" s="23">
        <v>18</v>
      </c>
      <c r="E60" s="24">
        <f>SUM($D$2:D60)/SUM($D$2:$D$2846)</f>
        <v>0.54885301614273574</v>
      </c>
      <c r="F60" s="22" t="s">
        <v>46</v>
      </c>
      <c r="G60" s="25" t="s">
        <v>125</v>
      </c>
    </row>
    <row r="61" spans="1:7">
      <c r="A61" s="21" t="s">
        <v>196</v>
      </c>
      <c r="B61" s="22" t="s">
        <v>56</v>
      </c>
      <c r="C61" s="22" t="s">
        <v>124</v>
      </c>
      <c r="D61" s="23">
        <v>17</v>
      </c>
      <c r="E61" s="24">
        <f>SUM($D$2:D61)/SUM($D$2:$D$2846)</f>
        <v>0.55029736618521663</v>
      </c>
      <c r="F61" s="22" t="s">
        <v>46</v>
      </c>
      <c r="G61" s="25" t="s">
        <v>125</v>
      </c>
    </row>
    <row r="62" spans="1:7">
      <c r="A62" s="21" t="s">
        <v>197</v>
      </c>
      <c r="B62" s="22" t="s">
        <v>56</v>
      </c>
      <c r="C62" s="22" t="s">
        <v>124</v>
      </c>
      <c r="D62" s="23">
        <v>17</v>
      </c>
      <c r="E62" s="24">
        <f>SUM($D$2:D62)/SUM($D$2:$D$2846)</f>
        <v>0.55174171622769752</v>
      </c>
      <c r="F62" s="22" t="s">
        <v>53</v>
      </c>
      <c r="G62" s="25" t="s">
        <v>125</v>
      </c>
    </row>
    <row r="63" spans="1:7">
      <c r="A63" s="21" t="s">
        <v>198</v>
      </c>
      <c r="B63" s="22" t="s">
        <v>56</v>
      </c>
      <c r="C63" s="22" t="s">
        <v>124</v>
      </c>
      <c r="D63" s="23">
        <v>17</v>
      </c>
      <c r="E63" s="24">
        <f>SUM($D$2:D63)/SUM($D$2:$D$2846)</f>
        <v>0.55318606627017841</v>
      </c>
      <c r="F63" s="22" t="s">
        <v>53</v>
      </c>
      <c r="G63" s="25" t="s">
        <v>125</v>
      </c>
    </row>
    <row r="64" spans="1:7">
      <c r="A64" s="21" t="s">
        <v>199</v>
      </c>
      <c r="B64" s="22" t="s">
        <v>56</v>
      </c>
      <c r="C64" s="22" t="s">
        <v>124</v>
      </c>
      <c r="D64" s="23">
        <v>17</v>
      </c>
      <c r="E64" s="24">
        <f>SUM($D$2:D64)/SUM($D$2:$D$2846)</f>
        <v>0.5546304163126593</v>
      </c>
      <c r="F64" s="22" t="s">
        <v>53</v>
      </c>
      <c r="G64" s="25" t="s">
        <v>125</v>
      </c>
    </row>
    <row r="65" spans="1:7">
      <c r="A65" s="21" t="s">
        <v>200</v>
      </c>
      <c r="B65" s="22" t="s">
        <v>56</v>
      </c>
      <c r="C65" s="22" t="s">
        <v>124</v>
      </c>
      <c r="D65" s="23">
        <v>16</v>
      </c>
      <c r="E65" s="24">
        <f>SUM($D$2:D65)/SUM($D$2:$D$2846)</f>
        <v>0.55598980458793545</v>
      </c>
      <c r="F65" s="22" t="s">
        <v>46</v>
      </c>
      <c r="G65" s="25" t="s">
        <v>125</v>
      </c>
    </row>
    <row r="66" spans="1:7">
      <c r="A66" s="21" t="s">
        <v>201</v>
      </c>
      <c r="B66" s="22" t="s">
        <v>56</v>
      </c>
      <c r="C66" s="22" t="s">
        <v>124</v>
      </c>
      <c r="D66" s="23">
        <v>16</v>
      </c>
      <c r="E66" s="24">
        <f>SUM($D$2:D66)/SUM($D$2:$D$2846)</f>
        <v>0.55734919286321161</v>
      </c>
      <c r="F66" s="22" t="s">
        <v>46</v>
      </c>
      <c r="G66" s="25" t="s">
        <v>125</v>
      </c>
    </row>
    <row r="67" spans="1:7">
      <c r="A67" s="21" t="s">
        <v>202</v>
      </c>
      <c r="B67" s="22" t="s">
        <v>129</v>
      </c>
      <c r="C67" s="22" t="s">
        <v>124</v>
      </c>
      <c r="D67" s="23">
        <v>16</v>
      </c>
      <c r="E67" s="24">
        <f>SUM($D$2:D67)/SUM($D$2:$D$2846)</f>
        <v>0.55870858113848765</v>
      </c>
      <c r="F67" s="22" t="s">
        <v>46</v>
      </c>
      <c r="G67" s="25" t="s">
        <v>130</v>
      </c>
    </row>
    <row r="68" spans="1:7">
      <c r="A68" s="21" t="s">
        <v>203</v>
      </c>
      <c r="B68" s="22" t="s">
        <v>56</v>
      </c>
      <c r="C68" s="22" t="s">
        <v>124</v>
      </c>
      <c r="D68" s="23">
        <v>16</v>
      </c>
      <c r="E68" s="24">
        <f>SUM($D$2:D68)/SUM($D$2:$D$2846)</f>
        <v>0.5600679694137638</v>
      </c>
      <c r="F68" s="22" t="s">
        <v>46</v>
      </c>
      <c r="G68" s="25" t="s">
        <v>125</v>
      </c>
    </row>
    <row r="69" spans="1:7">
      <c r="A69" s="21" t="s">
        <v>204</v>
      </c>
      <c r="B69" s="22" t="s">
        <v>56</v>
      </c>
      <c r="C69" s="22" t="s">
        <v>124</v>
      </c>
      <c r="D69" s="23">
        <v>16</v>
      </c>
      <c r="E69" s="24">
        <f>SUM($D$2:D69)/SUM($D$2:$D$2846)</f>
        <v>0.56142735768903995</v>
      </c>
      <c r="F69" s="22" t="s">
        <v>53</v>
      </c>
      <c r="G69" s="25" t="s">
        <v>125</v>
      </c>
    </row>
    <row r="70" spans="1:7">
      <c r="A70" s="21" t="s">
        <v>205</v>
      </c>
      <c r="B70" s="22" t="s">
        <v>56</v>
      </c>
      <c r="C70" s="22" t="s">
        <v>124</v>
      </c>
      <c r="D70" s="23">
        <v>16</v>
      </c>
      <c r="E70" s="24">
        <f>SUM($D$2:D70)/SUM($D$2:$D$2846)</f>
        <v>0.5627867459643161</v>
      </c>
      <c r="F70" s="22" t="s">
        <v>53</v>
      </c>
      <c r="G70" s="25" t="s">
        <v>125</v>
      </c>
    </row>
    <row r="71" spans="1:7">
      <c r="A71" s="21" t="s">
        <v>206</v>
      </c>
      <c r="B71" s="22" t="s">
        <v>56</v>
      </c>
      <c r="C71" s="22" t="s">
        <v>124</v>
      </c>
      <c r="D71" s="23">
        <v>16</v>
      </c>
      <c r="E71" s="24">
        <f>SUM($D$2:D71)/SUM($D$2:$D$2846)</f>
        <v>0.56414613423959215</v>
      </c>
      <c r="F71" s="22" t="s">
        <v>53</v>
      </c>
      <c r="G71" s="25" t="s">
        <v>125</v>
      </c>
    </row>
    <row r="72" spans="1:7">
      <c r="A72" s="21" t="s">
        <v>207</v>
      </c>
      <c r="B72" s="22" t="s">
        <v>56</v>
      </c>
      <c r="C72" s="22" t="s">
        <v>124</v>
      </c>
      <c r="D72" s="23">
        <v>15</v>
      </c>
      <c r="E72" s="24">
        <f>SUM($D$2:D72)/SUM($D$2:$D$2846)</f>
        <v>0.56542056074766356</v>
      </c>
      <c r="F72" s="22" t="s">
        <v>46</v>
      </c>
      <c r="G72" s="25" t="s">
        <v>125</v>
      </c>
    </row>
    <row r="73" spans="1:7">
      <c r="A73" s="21" t="s">
        <v>208</v>
      </c>
      <c r="B73" s="22" t="s">
        <v>56</v>
      </c>
      <c r="C73" s="22" t="s">
        <v>124</v>
      </c>
      <c r="D73" s="23">
        <v>15</v>
      </c>
      <c r="E73" s="24">
        <f>SUM($D$2:D73)/SUM($D$2:$D$2846)</f>
        <v>0.56669498725573497</v>
      </c>
      <c r="F73" s="22" t="s">
        <v>46</v>
      </c>
      <c r="G73" s="25" t="s">
        <v>125</v>
      </c>
    </row>
    <row r="74" spans="1:7">
      <c r="A74" s="21" t="s">
        <v>209</v>
      </c>
      <c r="B74" s="22" t="s">
        <v>56</v>
      </c>
      <c r="C74" s="22" t="s">
        <v>124</v>
      </c>
      <c r="D74" s="23">
        <v>15</v>
      </c>
      <c r="E74" s="24">
        <f>SUM($D$2:D74)/SUM($D$2:$D$2846)</f>
        <v>0.56796941376380627</v>
      </c>
      <c r="F74" s="22" t="s">
        <v>53</v>
      </c>
      <c r="G74" s="25" t="s">
        <v>210</v>
      </c>
    </row>
    <row r="75" spans="1:7">
      <c r="A75" s="21" t="s">
        <v>211</v>
      </c>
      <c r="B75" s="22" t="s">
        <v>56</v>
      </c>
      <c r="C75" s="22" t="s">
        <v>124</v>
      </c>
      <c r="D75" s="23">
        <v>15</v>
      </c>
      <c r="E75" s="24">
        <f>SUM($D$2:D75)/SUM($D$2:$D$2846)</f>
        <v>0.56924384027187769</v>
      </c>
      <c r="F75" s="22" t="s">
        <v>53</v>
      </c>
      <c r="G75" s="25" t="s">
        <v>125</v>
      </c>
    </row>
    <row r="76" spans="1:7">
      <c r="A76" s="21" t="s">
        <v>212</v>
      </c>
      <c r="B76" s="22" t="s">
        <v>56</v>
      </c>
      <c r="C76" s="22" t="s">
        <v>124</v>
      </c>
      <c r="D76" s="23">
        <v>15</v>
      </c>
      <c r="E76" s="24">
        <f>SUM($D$2:D76)/SUM($D$2:$D$2846)</f>
        <v>0.57051826677994899</v>
      </c>
      <c r="F76" s="22" t="s">
        <v>53</v>
      </c>
      <c r="G76" s="25" t="s">
        <v>125</v>
      </c>
    </row>
    <row r="77" spans="1:7">
      <c r="A77" s="21" t="s">
        <v>213</v>
      </c>
      <c r="B77" s="22" t="s">
        <v>56</v>
      </c>
      <c r="C77" s="22" t="s">
        <v>124</v>
      </c>
      <c r="D77" s="23">
        <v>15</v>
      </c>
      <c r="E77" s="24">
        <f>SUM($D$2:D77)/SUM($D$2:$D$2846)</f>
        <v>0.5717926932880204</v>
      </c>
      <c r="F77" s="22" t="s">
        <v>53</v>
      </c>
      <c r="G77" s="25" t="s">
        <v>125</v>
      </c>
    </row>
    <row r="78" spans="1:7">
      <c r="A78" s="21" t="s">
        <v>214</v>
      </c>
      <c r="B78" s="26" t="s">
        <v>163</v>
      </c>
      <c r="C78" s="22" t="s">
        <v>45</v>
      </c>
      <c r="D78" s="23">
        <v>14</v>
      </c>
      <c r="E78" s="24">
        <f>SUM($D$2:D78)/SUM($D$2:$D$2846)</f>
        <v>0.57298215802888697</v>
      </c>
      <c r="F78" s="22" t="s">
        <v>46</v>
      </c>
      <c r="G78" s="25" t="s">
        <v>164</v>
      </c>
    </row>
    <row r="79" spans="1:7">
      <c r="A79" s="21" t="s">
        <v>215</v>
      </c>
      <c r="B79" s="22" t="s">
        <v>129</v>
      </c>
      <c r="C79" s="22" t="s">
        <v>124</v>
      </c>
      <c r="D79" s="23">
        <v>14</v>
      </c>
      <c r="E79" s="24">
        <f>SUM($D$2:D79)/SUM($D$2:$D$2846)</f>
        <v>0.57417162276975364</v>
      </c>
      <c r="F79" s="22" t="s">
        <v>46</v>
      </c>
      <c r="G79" s="25" t="s">
        <v>130</v>
      </c>
    </row>
    <row r="80" spans="1:7">
      <c r="A80" s="21" t="s">
        <v>216</v>
      </c>
      <c r="B80" s="22" t="s">
        <v>56</v>
      </c>
      <c r="C80" s="22" t="s">
        <v>124</v>
      </c>
      <c r="D80" s="23">
        <v>14</v>
      </c>
      <c r="E80" s="24">
        <f>SUM($D$2:D80)/SUM($D$2:$D$2846)</f>
        <v>0.57536108751062021</v>
      </c>
      <c r="F80" s="22" t="s">
        <v>53</v>
      </c>
      <c r="G80" s="25" t="s">
        <v>125</v>
      </c>
    </row>
    <row r="81" spans="1:7">
      <c r="A81" s="21" t="s">
        <v>217</v>
      </c>
      <c r="B81" s="22" t="s">
        <v>56</v>
      </c>
      <c r="C81" s="22" t="s">
        <v>124</v>
      </c>
      <c r="D81" s="23">
        <v>14</v>
      </c>
      <c r="E81" s="24">
        <f>SUM($D$2:D81)/SUM($D$2:$D$2846)</f>
        <v>0.57655055225148688</v>
      </c>
      <c r="F81" s="22" t="s">
        <v>53</v>
      </c>
      <c r="G81" s="25" t="s">
        <v>125</v>
      </c>
    </row>
    <row r="82" spans="1:7">
      <c r="A82" s="21" t="s">
        <v>218</v>
      </c>
      <c r="B82" s="22" t="s">
        <v>56</v>
      </c>
      <c r="C82" s="22" t="s">
        <v>124</v>
      </c>
      <c r="D82" s="23">
        <v>14</v>
      </c>
      <c r="E82" s="24">
        <f>SUM($D$2:D82)/SUM($D$2:$D$2846)</f>
        <v>0.57774001699235344</v>
      </c>
      <c r="F82" s="22" t="s">
        <v>53</v>
      </c>
      <c r="G82" s="25" t="s">
        <v>125</v>
      </c>
    </row>
    <row r="83" spans="1:7">
      <c r="A83" s="21" t="s">
        <v>219</v>
      </c>
      <c r="B83" s="22" t="s">
        <v>56</v>
      </c>
      <c r="C83" s="22" t="s">
        <v>124</v>
      </c>
      <c r="D83" s="23">
        <v>14</v>
      </c>
      <c r="E83" s="24">
        <f>SUM($D$2:D83)/SUM($D$2:$D$2846)</f>
        <v>0.57892948173322001</v>
      </c>
      <c r="F83" s="22" t="s">
        <v>53</v>
      </c>
      <c r="G83" s="25" t="s">
        <v>125</v>
      </c>
    </row>
    <row r="84" spans="1:7">
      <c r="A84" s="21" t="s">
        <v>220</v>
      </c>
      <c r="B84" s="22" t="s">
        <v>56</v>
      </c>
      <c r="C84" s="22" t="s">
        <v>124</v>
      </c>
      <c r="D84" s="23">
        <v>14</v>
      </c>
      <c r="E84" s="24">
        <f>SUM($D$2:D84)/SUM($D$2:$D$2846)</f>
        <v>0.58011894647408668</v>
      </c>
      <c r="F84" s="22" t="s">
        <v>53</v>
      </c>
      <c r="G84" s="25" t="s">
        <v>125</v>
      </c>
    </row>
    <row r="85" spans="1:7">
      <c r="A85" s="21" t="s">
        <v>221</v>
      </c>
      <c r="B85" s="22" t="s">
        <v>56</v>
      </c>
      <c r="C85" s="22" t="s">
        <v>124</v>
      </c>
      <c r="D85" s="23">
        <v>14</v>
      </c>
      <c r="E85" s="24">
        <f>SUM($D$2:D85)/SUM($D$2:$D$2846)</f>
        <v>0.58130841121495325</v>
      </c>
      <c r="F85" s="22" t="s">
        <v>53</v>
      </c>
      <c r="G85" s="25" t="s">
        <v>125</v>
      </c>
    </row>
    <row r="86" spans="1:7">
      <c r="A86" s="21" t="s">
        <v>222</v>
      </c>
      <c r="B86" s="22" t="s">
        <v>56</v>
      </c>
      <c r="C86" s="22" t="s">
        <v>124</v>
      </c>
      <c r="D86" s="23">
        <v>13</v>
      </c>
      <c r="E86" s="24">
        <f>SUM($D$2:D86)/SUM($D$2:$D$2846)</f>
        <v>0.58241291418861507</v>
      </c>
      <c r="F86" s="22" t="s">
        <v>46</v>
      </c>
      <c r="G86" s="25" t="s">
        <v>125</v>
      </c>
    </row>
    <row r="87" spans="1:7">
      <c r="A87" s="21" t="s">
        <v>223</v>
      </c>
      <c r="B87" s="22" t="s">
        <v>56</v>
      </c>
      <c r="C87" s="22" t="s">
        <v>124</v>
      </c>
      <c r="D87" s="23">
        <v>13</v>
      </c>
      <c r="E87" s="24">
        <f>SUM($D$2:D87)/SUM($D$2:$D$2846)</f>
        <v>0.58351741716227701</v>
      </c>
      <c r="F87" s="22" t="s">
        <v>53</v>
      </c>
      <c r="G87" s="25" t="s">
        <v>125</v>
      </c>
    </row>
    <row r="88" spans="1:7">
      <c r="A88" s="21" t="s">
        <v>224</v>
      </c>
      <c r="B88" s="22" t="s">
        <v>56</v>
      </c>
      <c r="C88" s="22" t="s">
        <v>124</v>
      </c>
      <c r="D88" s="23">
        <v>13</v>
      </c>
      <c r="E88" s="24">
        <f>SUM($D$2:D88)/SUM($D$2:$D$2846)</f>
        <v>0.58462192013593883</v>
      </c>
      <c r="F88" s="22" t="s">
        <v>53</v>
      </c>
      <c r="G88" s="25" t="s">
        <v>125</v>
      </c>
    </row>
    <row r="89" spans="1:7">
      <c r="A89" s="21" t="s">
        <v>225</v>
      </c>
      <c r="B89" s="22" t="s">
        <v>56</v>
      </c>
      <c r="C89" s="22" t="s">
        <v>124</v>
      </c>
      <c r="D89" s="23">
        <v>13</v>
      </c>
      <c r="E89" s="24">
        <f>SUM($D$2:D89)/SUM($D$2:$D$2846)</f>
        <v>0.58572642310960066</v>
      </c>
      <c r="F89" s="22" t="s">
        <v>53</v>
      </c>
      <c r="G89" s="25" t="s">
        <v>125</v>
      </c>
    </row>
    <row r="90" spans="1:7">
      <c r="A90" s="21" t="s">
        <v>226</v>
      </c>
      <c r="B90" s="26" t="s">
        <v>163</v>
      </c>
      <c r="C90" s="22" t="s">
        <v>45</v>
      </c>
      <c r="D90" s="23">
        <v>13</v>
      </c>
      <c r="E90" s="24">
        <f>SUM($D$2:D90)/SUM($D$2:$D$2846)</f>
        <v>0.58683092608326248</v>
      </c>
      <c r="F90" s="22" t="s">
        <v>53</v>
      </c>
      <c r="G90" s="25" t="s">
        <v>164</v>
      </c>
    </row>
    <row r="91" spans="1:7">
      <c r="A91" s="21" t="s">
        <v>227</v>
      </c>
      <c r="B91" s="22" t="s">
        <v>56</v>
      </c>
      <c r="C91" s="22" t="s">
        <v>124</v>
      </c>
      <c r="D91" s="23">
        <v>13</v>
      </c>
      <c r="E91" s="24">
        <f>SUM($D$2:D91)/SUM($D$2:$D$2846)</f>
        <v>0.58793542905692442</v>
      </c>
      <c r="F91" s="22" t="s">
        <v>53</v>
      </c>
      <c r="G91" s="25" t="s">
        <v>125</v>
      </c>
    </row>
    <row r="92" spans="1:7">
      <c r="A92" s="21" t="s">
        <v>228</v>
      </c>
      <c r="B92" s="22" t="s">
        <v>56</v>
      </c>
      <c r="C92" s="22" t="s">
        <v>124</v>
      </c>
      <c r="D92" s="23">
        <v>12</v>
      </c>
      <c r="E92" s="24">
        <f>SUM($D$2:D92)/SUM($D$2:$D$2846)</f>
        <v>0.58895497026338151</v>
      </c>
      <c r="F92" s="22" t="s">
        <v>46</v>
      </c>
      <c r="G92" s="25" t="s">
        <v>125</v>
      </c>
    </row>
    <row r="93" spans="1:7">
      <c r="A93" s="21" t="s">
        <v>229</v>
      </c>
      <c r="B93" s="22" t="s">
        <v>56</v>
      </c>
      <c r="C93" s="22" t="s">
        <v>124</v>
      </c>
      <c r="D93" s="23">
        <v>12</v>
      </c>
      <c r="E93" s="24">
        <f>SUM($D$2:D93)/SUM($D$2:$D$2846)</f>
        <v>0.58997451146983859</v>
      </c>
      <c r="F93" s="22" t="s">
        <v>46</v>
      </c>
      <c r="G93" s="25" t="s">
        <v>125</v>
      </c>
    </row>
    <row r="94" spans="1:7">
      <c r="A94" s="21" t="s">
        <v>230</v>
      </c>
      <c r="B94" s="22" t="s">
        <v>56</v>
      </c>
      <c r="C94" s="22" t="s">
        <v>124</v>
      </c>
      <c r="D94" s="23">
        <v>12</v>
      </c>
      <c r="E94" s="24">
        <f>SUM($D$2:D94)/SUM($D$2:$D$2846)</f>
        <v>0.59099405267629568</v>
      </c>
      <c r="F94" s="22" t="s">
        <v>53</v>
      </c>
      <c r="G94" s="25" t="s">
        <v>125</v>
      </c>
    </row>
    <row r="95" spans="1:7">
      <c r="A95" s="21" t="s">
        <v>231</v>
      </c>
      <c r="B95" s="22" t="s">
        <v>56</v>
      </c>
      <c r="C95" s="22" t="s">
        <v>124</v>
      </c>
      <c r="D95" s="23">
        <v>12</v>
      </c>
      <c r="E95" s="24">
        <f>SUM($D$2:D95)/SUM($D$2:$D$2846)</f>
        <v>0.59201359388275276</v>
      </c>
      <c r="F95" s="22" t="s">
        <v>53</v>
      </c>
      <c r="G95" s="25" t="s">
        <v>125</v>
      </c>
    </row>
    <row r="96" spans="1:7">
      <c r="A96" s="21" t="s">
        <v>232</v>
      </c>
      <c r="B96" s="22" t="s">
        <v>56</v>
      </c>
      <c r="C96" s="22" t="s">
        <v>124</v>
      </c>
      <c r="D96" s="23">
        <v>12</v>
      </c>
      <c r="E96" s="24">
        <f>SUM($D$2:D96)/SUM($D$2:$D$2846)</f>
        <v>0.59303313508920985</v>
      </c>
      <c r="F96" s="22" t="s">
        <v>53</v>
      </c>
      <c r="G96" s="25" t="s">
        <v>125</v>
      </c>
    </row>
    <row r="97" spans="1:7">
      <c r="A97" s="21" t="s">
        <v>233</v>
      </c>
      <c r="B97" s="22" t="s">
        <v>56</v>
      </c>
      <c r="C97" s="22" t="s">
        <v>124</v>
      </c>
      <c r="D97" s="23">
        <v>12</v>
      </c>
      <c r="E97" s="24">
        <f>SUM($D$2:D97)/SUM($D$2:$D$2846)</f>
        <v>0.59405267629566694</v>
      </c>
      <c r="F97" s="22" t="s">
        <v>53</v>
      </c>
      <c r="G97" s="25" t="s">
        <v>125</v>
      </c>
    </row>
    <row r="98" spans="1:7">
      <c r="A98" s="21" t="s">
        <v>234</v>
      </c>
      <c r="B98" s="22" t="s">
        <v>56</v>
      </c>
      <c r="C98" s="22" t="s">
        <v>124</v>
      </c>
      <c r="D98" s="23">
        <v>12</v>
      </c>
      <c r="E98" s="24">
        <f>SUM($D$2:D98)/SUM($D$2:$D$2846)</f>
        <v>0.59507221750212402</v>
      </c>
      <c r="F98" s="22" t="s">
        <v>53</v>
      </c>
      <c r="G98" s="25" t="s">
        <v>125</v>
      </c>
    </row>
    <row r="99" spans="1:7">
      <c r="A99" s="21" t="s">
        <v>235</v>
      </c>
      <c r="B99" s="22" t="s">
        <v>56</v>
      </c>
      <c r="C99" s="22" t="s">
        <v>124</v>
      </c>
      <c r="D99" s="23">
        <v>12</v>
      </c>
      <c r="E99" s="24">
        <f>SUM($D$2:D99)/SUM($D$2:$D$2846)</f>
        <v>0.59609175870858111</v>
      </c>
      <c r="F99" s="22" t="s">
        <v>53</v>
      </c>
      <c r="G99" s="25" t="s">
        <v>125</v>
      </c>
    </row>
    <row r="100" spans="1:7">
      <c r="A100" s="21" t="s">
        <v>236</v>
      </c>
      <c r="B100" s="22" t="s">
        <v>56</v>
      </c>
      <c r="C100" s="22" t="s">
        <v>124</v>
      </c>
      <c r="D100" s="23">
        <v>12</v>
      </c>
      <c r="E100" s="24">
        <f>SUM($D$2:D100)/SUM($D$2:$D$2846)</f>
        <v>0.5971112999150382</v>
      </c>
      <c r="F100" s="22" t="s">
        <v>53</v>
      </c>
      <c r="G100" s="25" t="s">
        <v>125</v>
      </c>
    </row>
    <row r="101" spans="1:7">
      <c r="A101" s="21" t="s">
        <v>237</v>
      </c>
      <c r="B101" s="22" t="s">
        <v>56</v>
      </c>
      <c r="C101" s="22" t="s">
        <v>124</v>
      </c>
      <c r="D101" s="23">
        <v>11</v>
      </c>
      <c r="E101" s="24">
        <f>SUM($D$2:D101)/SUM($D$2:$D$2846)</f>
        <v>0.59804587935429054</v>
      </c>
      <c r="F101" s="22" t="s">
        <v>46</v>
      </c>
      <c r="G101" s="25" t="s">
        <v>125</v>
      </c>
    </row>
    <row r="102" spans="1:7">
      <c r="A102" s="21" t="s">
        <v>238</v>
      </c>
      <c r="B102" s="22" t="s">
        <v>56</v>
      </c>
      <c r="C102" s="22" t="s">
        <v>124</v>
      </c>
      <c r="D102" s="23">
        <v>11</v>
      </c>
      <c r="E102" s="24">
        <f>SUM($D$2:D102)/SUM($D$2:$D$2846)</f>
        <v>0.59898045879354289</v>
      </c>
      <c r="F102" s="22" t="s">
        <v>46</v>
      </c>
      <c r="G102" s="25" t="s">
        <v>125</v>
      </c>
    </row>
    <row r="103" spans="1:7">
      <c r="A103" s="21" t="s">
        <v>239</v>
      </c>
      <c r="B103" s="22" t="s">
        <v>56</v>
      </c>
      <c r="C103" s="22" t="s">
        <v>124</v>
      </c>
      <c r="D103" s="23">
        <v>11</v>
      </c>
      <c r="E103" s="24">
        <f>SUM($D$2:D103)/SUM($D$2:$D$2846)</f>
        <v>0.59991503823279524</v>
      </c>
      <c r="F103" s="22" t="s">
        <v>46</v>
      </c>
      <c r="G103" s="25" t="s">
        <v>125</v>
      </c>
    </row>
    <row r="104" spans="1:7">
      <c r="A104" s="21" t="s">
        <v>240</v>
      </c>
      <c r="B104" s="22" t="s">
        <v>56</v>
      </c>
      <c r="C104" s="22" t="s">
        <v>124</v>
      </c>
      <c r="D104" s="23">
        <v>11</v>
      </c>
      <c r="E104" s="24">
        <f>SUM($D$2:D104)/SUM($D$2:$D$2846)</f>
        <v>0.60084961767204759</v>
      </c>
      <c r="F104" s="22" t="s">
        <v>53</v>
      </c>
      <c r="G104" s="25" t="s">
        <v>125</v>
      </c>
    </row>
    <row r="105" spans="1:7">
      <c r="A105" s="21" t="s">
        <v>241</v>
      </c>
      <c r="B105" s="22" t="s">
        <v>56</v>
      </c>
      <c r="C105" s="22" t="s">
        <v>124</v>
      </c>
      <c r="D105" s="23">
        <v>11</v>
      </c>
      <c r="E105" s="24">
        <f>SUM($D$2:D105)/SUM($D$2:$D$2846)</f>
        <v>0.60178419711129993</v>
      </c>
      <c r="F105" s="22" t="s">
        <v>53</v>
      </c>
      <c r="G105" s="25" t="s">
        <v>125</v>
      </c>
    </row>
    <row r="106" spans="1:7">
      <c r="A106" s="21" t="s">
        <v>242</v>
      </c>
      <c r="B106" s="22" t="s">
        <v>56</v>
      </c>
      <c r="C106" s="22" t="s">
        <v>124</v>
      </c>
      <c r="D106" s="23">
        <v>11</v>
      </c>
      <c r="E106" s="24">
        <f>SUM($D$2:D106)/SUM($D$2:$D$2846)</f>
        <v>0.60271877655055228</v>
      </c>
      <c r="F106" s="22" t="s">
        <v>53</v>
      </c>
      <c r="G106" s="25" t="s">
        <v>125</v>
      </c>
    </row>
    <row r="107" spans="1:7">
      <c r="A107" s="21" t="s">
        <v>243</v>
      </c>
      <c r="B107" s="22" t="s">
        <v>56</v>
      </c>
      <c r="C107" s="22" t="s">
        <v>124</v>
      </c>
      <c r="D107" s="23">
        <v>11</v>
      </c>
      <c r="E107" s="24">
        <f>SUM($D$2:D107)/SUM($D$2:$D$2846)</f>
        <v>0.60365335598980463</v>
      </c>
      <c r="F107" s="22" t="s">
        <v>53</v>
      </c>
      <c r="G107" s="25" t="s">
        <v>125</v>
      </c>
    </row>
    <row r="108" spans="1:7">
      <c r="A108" s="21" t="s">
        <v>244</v>
      </c>
      <c r="B108" s="22" t="s">
        <v>56</v>
      </c>
      <c r="C108" s="22" t="s">
        <v>124</v>
      </c>
      <c r="D108" s="23">
        <v>11</v>
      </c>
      <c r="E108" s="24">
        <f>SUM($D$2:D108)/SUM($D$2:$D$2846)</f>
        <v>0.60458793542905698</v>
      </c>
      <c r="F108" s="22" t="s">
        <v>53</v>
      </c>
      <c r="G108" s="25" t="s">
        <v>125</v>
      </c>
    </row>
    <row r="109" spans="1:7">
      <c r="A109" s="21" t="s">
        <v>245</v>
      </c>
      <c r="B109" s="22" t="s">
        <v>56</v>
      </c>
      <c r="C109" s="22" t="s">
        <v>124</v>
      </c>
      <c r="D109" s="23">
        <v>11</v>
      </c>
      <c r="E109" s="24">
        <f>SUM($D$2:D109)/SUM($D$2:$D$2846)</f>
        <v>0.60552251486830921</v>
      </c>
      <c r="F109" s="22" t="s">
        <v>53</v>
      </c>
      <c r="G109" s="25" t="s">
        <v>125</v>
      </c>
    </row>
    <row r="110" spans="1:7">
      <c r="A110" s="21" t="s">
        <v>246</v>
      </c>
      <c r="B110" s="22" t="s">
        <v>56</v>
      </c>
      <c r="C110" s="22" t="s">
        <v>124</v>
      </c>
      <c r="D110" s="23">
        <v>10</v>
      </c>
      <c r="E110" s="24">
        <f>SUM($D$2:D110)/SUM($D$2:$D$2846)</f>
        <v>0.60637213254035682</v>
      </c>
      <c r="F110" s="22" t="s">
        <v>46</v>
      </c>
      <c r="G110" s="25" t="s">
        <v>125</v>
      </c>
    </row>
    <row r="111" spans="1:7">
      <c r="A111" s="21" t="s">
        <v>247</v>
      </c>
      <c r="B111" s="22" t="s">
        <v>56</v>
      </c>
      <c r="C111" s="22" t="s">
        <v>124</v>
      </c>
      <c r="D111" s="23">
        <v>10</v>
      </c>
      <c r="E111" s="24">
        <f>SUM($D$2:D111)/SUM($D$2:$D$2846)</f>
        <v>0.60722175021240443</v>
      </c>
      <c r="F111" s="22" t="s">
        <v>46</v>
      </c>
      <c r="G111" s="25" t="s">
        <v>125</v>
      </c>
    </row>
    <row r="112" spans="1:7">
      <c r="A112" s="21" t="s">
        <v>248</v>
      </c>
      <c r="B112" s="22" t="s">
        <v>56</v>
      </c>
      <c r="C112" s="22" t="s">
        <v>124</v>
      </c>
      <c r="D112" s="23">
        <v>10</v>
      </c>
      <c r="E112" s="24">
        <f>SUM($D$2:D112)/SUM($D$2:$D$2846)</f>
        <v>0.60807136788445204</v>
      </c>
      <c r="F112" s="22" t="s">
        <v>46</v>
      </c>
      <c r="G112" s="25" t="s">
        <v>125</v>
      </c>
    </row>
    <row r="113" spans="1:7">
      <c r="A113" s="21" t="s">
        <v>249</v>
      </c>
      <c r="B113" s="22" t="s">
        <v>56</v>
      </c>
      <c r="C113" s="22" t="s">
        <v>124</v>
      </c>
      <c r="D113" s="23">
        <v>10</v>
      </c>
      <c r="E113" s="24">
        <f>SUM($D$2:D113)/SUM($D$2:$D$2846)</f>
        <v>0.60892098555649954</v>
      </c>
      <c r="F113" s="22" t="s">
        <v>53</v>
      </c>
      <c r="G113" s="25" t="s">
        <v>125</v>
      </c>
    </row>
    <row r="114" spans="1:7">
      <c r="A114" s="21" t="s">
        <v>250</v>
      </c>
      <c r="B114" s="22" t="s">
        <v>56</v>
      </c>
      <c r="C114" s="22" t="s">
        <v>124</v>
      </c>
      <c r="D114" s="23">
        <v>10</v>
      </c>
      <c r="E114" s="24">
        <f>SUM($D$2:D114)/SUM($D$2:$D$2846)</f>
        <v>0.60977060322854715</v>
      </c>
      <c r="F114" s="22" t="s">
        <v>53</v>
      </c>
      <c r="G114" s="25" t="s">
        <v>125</v>
      </c>
    </row>
    <row r="115" spans="1:7">
      <c r="A115" s="21" t="s">
        <v>251</v>
      </c>
      <c r="B115" s="22" t="s">
        <v>56</v>
      </c>
      <c r="C115" s="22" t="s">
        <v>124</v>
      </c>
      <c r="D115" s="23">
        <v>10</v>
      </c>
      <c r="E115" s="24">
        <f>SUM($D$2:D115)/SUM($D$2:$D$2846)</f>
        <v>0.61062022090059476</v>
      </c>
      <c r="F115" s="22" t="s">
        <v>53</v>
      </c>
      <c r="G115" s="25" t="s">
        <v>125</v>
      </c>
    </row>
    <row r="116" spans="1:7">
      <c r="A116" s="21" t="s">
        <v>252</v>
      </c>
      <c r="B116" s="22" t="s">
        <v>56</v>
      </c>
      <c r="C116" s="22" t="s">
        <v>124</v>
      </c>
      <c r="D116" s="23">
        <v>10</v>
      </c>
      <c r="E116" s="24">
        <f>SUM($D$2:D116)/SUM($D$2:$D$2846)</f>
        <v>0.61146983857264237</v>
      </c>
      <c r="F116" s="22" t="s">
        <v>53</v>
      </c>
      <c r="G116" s="25" t="s">
        <v>125</v>
      </c>
    </row>
    <row r="117" spans="1:7">
      <c r="A117" s="21" t="s">
        <v>253</v>
      </c>
      <c r="B117" s="22" t="s">
        <v>56</v>
      </c>
      <c r="C117" s="22" t="s">
        <v>124</v>
      </c>
      <c r="D117" s="23">
        <v>10</v>
      </c>
      <c r="E117" s="24">
        <f>SUM($D$2:D117)/SUM($D$2:$D$2846)</f>
        <v>0.61231945624468986</v>
      </c>
      <c r="F117" s="22" t="s">
        <v>53</v>
      </c>
      <c r="G117" s="25" t="s">
        <v>125</v>
      </c>
    </row>
    <row r="118" spans="1:7">
      <c r="A118" s="21" t="s">
        <v>254</v>
      </c>
      <c r="B118" s="22" t="s">
        <v>56</v>
      </c>
      <c r="C118" s="22" t="s">
        <v>124</v>
      </c>
      <c r="D118" s="23">
        <v>10</v>
      </c>
      <c r="E118" s="24">
        <f>SUM($D$2:D118)/SUM($D$2:$D$2846)</f>
        <v>0.61316907391673747</v>
      </c>
      <c r="F118" s="22" t="s">
        <v>53</v>
      </c>
      <c r="G118" s="25" t="s">
        <v>125</v>
      </c>
    </row>
    <row r="119" spans="1:7">
      <c r="A119" s="21" t="s">
        <v>255</v>
      </c>
      <c r="B119" s="22" t="s">
        <v>56</v>
      </c>
      <c r="C119" s="22" t="s">
        <v>124</v>
      </c>
      <c r="D119" s="23">
        <v>9</v>
      </c>
      <c r="E119" s="24">
        <f>SUM($D$2:D119)/SUM($D$2:$D$2846)</f>
        <v>0.61393372982158034</v>
      </c>
      <c r="F119" s="22" t="s">
        <v>46</v>
      </c>
      <c r="G119" s="25" t="s">
        <v>125</v>
      </c>
    </row>
    <row r="120" spans="1:7">
      <c r="A120" s="21" t="s">
        <v>256</v>
      </c>
      <c r="B120" s="22" t="s">
        <v>56</v>
      </c>
      <c r="C120" s="22" t="s">
        <v>124</v>
      </c>
      <c r="D120" s="23">
        <v>9</v>
      </c>
      <c r="E120" s="24">
        <f>SUM($D$2:D120)/SUM($D$2:$D$2846)</f>
        <v>0.6146983857264231</v>
      </c>
      <c r="F120" s="22" t="s">
        <v>46</v>
      </c>
      <c r="G120" s="25" t="s">
        <v>125</v>
      </c>
    </row>
    <row r="121" spans="1:7">
      <c r="A121" s="21" t="s">
        <v>257</v>
      </c>
      <c r="B121" s="22" t="s">
        <v>56</v>
      </c>
      <c r="C121" s="22" t="s">
        <v>124</v>
      </c>
      <c r="D121" s="23">
        <v>9</v>
      </c>
      <c r="E121" s="24">
        <f>SUM($D$2:D121)/SUM($D$2:$D$2846)</f>
        <v>0.61546304163126597</v>
      </c>
      <c r="F121" s="22" t="s">
        <v>53</v>
      </c>
      <c r="G121" s="25" t="s">
        <v>125</v>
      </c>
    </row>
    <row r="122" spans="1:7">
      <c r="A122" s="21" t="s">
        <v>258</v>
      </c>
      <c r="B122" s="22" t="s">
        <v>56</v>
      </c>
      <c r="C122" s="22" t="s">
        <v>124</v>
      </c>
      <c r="D122" s="23">
        <v>9</v>
      </c>
      <c r="E122" s="24">
        <f>SUM($D$2:D122)/SUM($D$2:$D$2846)</f>
        <v>0.61622769753610873</v>
      </c>
      <c r="F122" s="22" t="s">
        <v>53</v>
      </c>
      <c r="G122" s="25" t="s">
        <v>125</v>
      </c>
    </row>
    <row r="123" spans="1:7">
      <c r="A123" s="21" t="s">
        <v>259</v>
      </c>
      <c r="B123" s="22" t="s">
        <v>56</v>
      </c>
      <c r="C123" s="22" t="s">
        <v>124</v>
      </c>
      <c r="D123" s="23">
        <v>9</v>
      </c>
      <c r="E123" s="24">
        <f>SUM($D$2:D123)/SUM($D$2:$D$2846)</f>
        <v>0.6169923534409516</v>
      </c>
      <c r="F123" s="22" t="s">
        <v>53</v>
      </c>
      <c r="G123" s="25" t="s">
        <v>125</v>
      </c>
    </row>
    <row r="124" spans="1:7">
      <c r="A124" s="21" t="s">
        <v>260</v>
      </c>
      <c r="B124" s="22" t="s">
        <v>56</v>
      </c>
      <c r="C124" s="22" t="s">
        <v>124</v>
      </c>
      <c r="D124" s="23">
        <v>9</v>
      </c>
      <c r="E124" s="24">
        <f>SUM($D$2:D124)/SUM($D$2:$D$2846)</f>
        <v>0.61775700934579436</v>
      </c>
      <c r="F124" s="22" t="s">
        <v>53</v>
      </c>
      <c r="G124" s="25" t="s">
        <v>125</v>
      </c>
    </row>
    <row r="125" spans="1:7">
      <c r="A125" s="21" t="s">
        <v>261</v>
      </c>
      <c r="B125" s="22" t="s">
        <v>56</v>
      </c>
      <c r="C125" s="22" t="s">
        <v>124</v>
      </c>
      <c r="D125" s="23">
        <v>9</v>
      </c>
      <c r="E125" s="24">
        <f>SUM($D$2:D125)/SUM($D$2:$D$2846)</f>
        <v>0.61852166525063723</v>
      </c>
      <c r="F125" s="22" t="s">
        <v>53</v>
      </c>
      <c r="G125" s="25" t="s">
        <v>125</v>
      </c>
    </row>
    <row r="126" spans="1:7">
      <c r="A126" s="21" t="s">
        <v>262</v>
      </c>
      <c r="B126" s="22" t="s">
        <v>56</v>
      </c>
      <c r="C126" s="22" t="s">
        <v>124</v>
      </c>
      <c r="D126" s="23">
        <v>9</v>
      </c>
      <c r="E126" s="24">
        <f>SUM($D$2:D126)/SUM($D$2:$D$2846)</f>
        <v>0.61928632115547999</v>
      </c>
      <c r="F126" s="22" t="s">
        <v>53</v>
      </c>
      <c r="G126" s="25" t="s">
        <v>125</v>
      </c>
    </row>
    <row r="127" spans="1:7">
      <c r="A127" s="21" t="s">
        <v>263</v>
      </c>
      <c r="B127" s="22" t="s">
        <v>56</v>
      </c>
      <c r="C127" s="22" t="s">
        <v>124</v>
      </c>
      <c r="D127" s="23">
        <v>9</v>
      </c>
      <c r="E127" s="24">
        <f>SUM($D$2:D127)/SUM($D$2:$D$2846)</f>
        <v>0.62005097706032286</v>
      </c>
      <c r="F127" s="22" t="s">
        <v>53</v>
      </c>
      <c r="G127" s="25" t="s">
        <v>125</v>
      </c>
    </row>
    <row r="128" spans="1:7">
      <c r="A128" s="21" t="s">
        <v>264</v>
      </c>
      <c r="B128" s="22" t="s">
        <v>56</v>
      </c>
      <c r="C128" s="22" t="s">
        <v>124</v>
      </c>
      <c r="D128" s="23">
        <v>9</v>
      </c>
      <c r="E128" s="24">
        <f>SUM($D$2:D128)/SUM($D$2:$D$2846)</f>
        <v>0.62081563296516562</v>
      </c>
      <c r="F128" s="22" t="s">
        <v>53</v>
      </c>
      <c r="G128" s="25" t="s">
        <v>125</v>
      </c>
    </row>
    <row r="129" spans="1:7">
      <c r="A129" s="21" t="s">
        <v>265</v>
      </c>
      <c r="B129" s="22" t="s">
        <v>56</v>
      </c>
      <c r="C129" s="22" t="s">
        <v>124</v>
      </c>
      <c r="D129" s="23">
        <v>9</v>
      </c>
      <c r="E129" s="24">
        <f>SUM($D$2:D129)/SUM($D$2:$D$2846)</f>
        <v>0.62158028887000849</v>
      </c>
      <c r="F129" s="22" t="s">
        <v>53</v>
      </c>
      <c r="G129" s="25" t="s">
        <v>125</v>
      </c>
    </row>
    <row r="130" spans="1:7">
      <c r="A130" s="21" t="s">
        <v>266</v>
      </c>
      <c r="B130" s="22" t="s">
        <v>56</v>
      </c>
      <c r="C130" s="22" t="s">
        <v>124</v>
      </c>
      <c r="D130" s="23">
        <v>8</v>
      </c>
      <c r="E130" s="24">
        <f>SUM($D$2:D130)/SUM($D$2:$D$2846)</f>
        <v>0.62225998300764651</v>
      </c>
      <c r="F130" s="22" t="s">
        <v>46</v>
      </c>
      <c r="G130" s="25" t="s">
        <v>125</v>
      </c>
    </row>
    <row r="131" spans="1:7">
      <c r="A131" s="21" t="s">
        <v>267</v>
      </c>
      <c r="B131" s="22" t="s">
        <v>56</v>
      </c>
      <c r="C131" s="22" t="s">
        <v>124</v>
      </c>
      <c r="D131" s="23">
        <v>8</v>
      </c>
      <c r="E131" s="24">
        <f>SUM($D$2:D131)/SUM($D$2:$D$2846)</f>
        <v>0.62293967714528464</v>
      </c>
      <c r="F131" s="22" t="s">
        <v>46</v>
      </c>
      <c r="G131" s="25" t="s">
        <v>125</v>
      </c>
    </row>
    <row r="132" spans="1:7">
      <c r="A132" s="21" t="s">
        <v>268</v>
      </c>
      <c r="B132" s="22" t="s">
        <v>56</v>
      </c>
      <c r="C132" s="22" t="s">
        <v>124</v>
      </c>
      <c r="D132" s="23">
        <v>8</v>
      </c>
      <c r="E132" s="24">
        <f>SUM($D$2:D132)/SUM($D$2:$D$2846)</f>
        <v>0.62361937128292266</v>
      </c>
      <c r="F132" s="22" t="s">
        <v>46</v>
      </c>
      <c r="G132" s="25" t="s">
        <v>125</v>
      </c>
    </row>
    <row r="133" spans="1:7">
      <c r="A133" s="21" t="s">
        <v>269</v>
      </c>
      <c r="B133" s="22" t="s">
        <v>56</v>
      </c>
      <c r="C133" s="22" t="s">
        <v>124</v>
      </c>
      <c r="D133" s="23">
        <v>8</v>
      </c>
      <c r="E133" s="24">
        <f>SUM($D$2:D133)/SUM($D$2:$D$2846)</f>
        <v>0.62429906542056079</v>
      </c>
      <c r="F133" s="22" t="s">
        <v>46</v>
      </c>
      <c r="G133" s="25" t="s">
        <v>125</v>
      </c>
    </row>
    <row r="134" spans="1:7">
      <c r="A134" s="21" t="s">
        <v>270</v>
      </c>
      <c r="B134" s="22" t="s">
        <v>56</v>
      </c>
      <c r="C134" s="22" t="s">
        <v>124</v>
      </c>
      <c r="D134" s="23">
        <v>8</v>
      </c>
      <c r="E134" s="24">
        <f>SUM($D$2:D134)/SUM($D$2:$D$2846)</f>
        <v>0.62497875955819882</v>
      </c>
      <c r="F134" s="22" t="s">
        <v>46</v>
      </c>
      <c r="G134" s="25" t="s">
        <v>125</v>
      </c>
    </row>
    <row r="135" spans="1:7">
      <c r="A135" s="21" t="s">
        <v>271</v>
      </c>
      <c r="B135" s="22" t="s">
        <v>56</v>
      </c>
      <c r="C135" s="22" t="s">
        <v>124</v>
      </c>
      <c r="D135" s="23">
        <v>8</v>
      </c>
      <c r="E135" s="24">
        <f>SUM($D$2:D135)/SUM($D$2:$D$2846)</f>
        <v>0.62565845369583684</v>
      </c>
      <c r="F135" s="22" t="s">
        <v>46</v>
      </c>
      <c r="G135" s="25" t="s">
        <v>125</v>
      </c>
    </row>
    <row r="136" spans="1:7">
      <c r="A136" s="21" t="s">
        <v>272</v>
      </c>
      <c r="B136" s="22" t="s">
        <v>56</v>
      </c>
      <c r="C136" s="22" t="s">
        <v>124</v>
      </c>
      <c r="D136" s="23">
        <v>8</v>
      </c>
      <c r="E136" s="24">
        <f>SUM($D$2:D136)/SUM($D$2:$D$2846)</f>
        <v>0.62633814783347497</v>
      </c>
      <c r="F136" s="22" t="s">
        <v>46</v>
      </c>
      <c r="G136" s="25" t="s">
        <v>125</v>
      </c>
    </row>
    <row r="137" spans="1:7">
      <c r="A137" s="21" t="s">
        <v>273</v>
      </c>
      <c r="B137" s="22" t="s">
        <v>56</v>
      </c>
      <c r="C137" s="22" t="s">
        <v>124</v>
      </c>
      <c r="D137" s="23">
        <v>8</v>
      </c>
      <c r="E137" s="24">
        <f>SUM($D$2:D137)/SUM($D$2:$D$2846)</f>
        <v>0.62701784197111299</v>
      </c>
      <c r="F137" s="22" t="s">
        <v>46</v>
      </c>
      <c r="G137" s="25" t="s">
        <v>125</v>
      </c>
    </row>
    <row r="138" spans="1:7">
      <c r="A138" s="21" t="s">
        <v>274</v>
      </c>
      <c r="B138" s="22" t="s">
        <v>56</v>
      </c>
      <c r="C138" s="22" t="s">
        <v>124</v>
      </c>
      <c r="D138" s="23">
        <v>8</v>
      </c>
      <c r="E138" s="24">
        <f>SUM($D$2:D138)/SUM($D$2:$D$2846)</f>
        <v>0.62769753610875101</v>
      </c>
      <c r="F138" s="22" t="s">
        <v>46</v>
      </c>
      <c r="G138" s="25" t="s">
        <v>125</v>
      </c>
    </row>
    <row r="139" spans="1:7">
      <c r="A139" s="21" t="s">
        <v>275</v>
      </c>
      <c r="B139" s="22" t="s">
        <v>56</v>
      </c>
      <c r="C139" s="22" t="s">
        <v>124</v>
      </c>
      <c r="D139" s="23">
        <v>8</v>
      </c>
      <c r="E139" s="24">
        <f>SUM($D$2:D139)/SUM($D$2:$D$2846)</f>
        <v>0.62837723024638914</v>
      </c>
      <c r="F139" s="22" t="s">
        <v>46</v>
      </c>
      <c r="G139" s="25" t="s">
        <v>125</v>
      </c>
    </row>
    <row r="140" spans="1:7">
      <c r="A140" s="21" t="s">
        <v>276</v>
      </c>
      <c r="B140" s="22" t="s">
        <v>56</v>
      </c>
      <c r="C140" s="22" t="s">
        <v>124</v>
      </c>
      <c r="D140" s="23">
        <v>8</v>
      </c>
      <c r="E140" s="24">
        <f>SUM($D$2:D140)/SUM($D$2:$D$2846)</f>
        <v>0.62905692438402716</v>
      </c>
      <c r="F140" s="22" t="s">
        <v>46</v>
      </c>
      <c r="G140" s="25" t="s">
        <v>125</v>
      </c>
    </row>
    <row r="141" spans="1:7">
      <c r="A141" s="21" t="s">
        <v>277</v>
      </c>
      <c r="B141" s="22" t="s">
        <v>56</v>
      </c>
      <c r="C141" s="22" t="s">
        <v>124</v>
      </c>
      <c r="D141" s="23">
        <v>8</v>
      </c>
      <c r="E141" s="24">
        <f>SUM($D$2:D141)/SUM($D$2:$D$2846)</f>
        <v>0.62973661852166529</v>
      </c>
      <c r="F141" s="22" t="s">
        <v>46</v>
      </c>
      <c r="G141" s="25" t="s">
        <v>125</v>
      </c>
    </row>
    <row r="142" spans="1:7">
      <c r="A142" s="21" t="s">
        <v>278</v>
      </c>
      <c r="B142" s="22" t="s">
        <v>56</v>
      </c>
      <c r="C142" s="22" t="s">
        <v>124</v>
      </c>
      <c r="D142" s="23">
        <v>8</v>
      </c>
      <c r="E142" s="24">
        <f>SUM($D$2:D142)/SUM($D$2:$D$2846)</f>
        <v>0.63041631265930331</v>
      </c>
      <c r="F142" s="22" t="s">
        <v>53</v>
      </c>
      <c r="G142" s="25" t="s">
        <v>125</v>
      </c>
    </row>
    <row r="143" spans="1:7">
      <c r="A143" s="21" t="s">
        <v>279</v>
      </c>
      <c r="B143" s="22" t="s">
        <v>44</v>
      </c>
      <c r="C143" s="22" t="s">
        <v>124</v>
      </c>
      <c r="D143" s="23">
        <v>8</v>
      </c>
      <c r="E143" s="24">
        <f>SUM($D$2:D143)/SUM($D$2:$D$2846)</f>
        <v>0.63109600679694133</v>
      </c>
      <c r="F143" s="22" t="s">
        <v>53</v>
      </c>
      <c r="G143" s="25" t="s">
        <v>194</v>
      </c>
    </row>
    <row r="144" spans="1:7">
      <c r="A144" s="21" t="s">
        <v>280</v>
      </c>
      <c r="B144" s="22" t="s">
        <v>56</v>
      </c>
      <c r="C144" s="22" t="s">
        <v>124</v>
      </c>
      <c r="D144" s="23">
        <v>8</v>
      </c>
      <c r="E144" s="24">
        <f>SUM($D$2:D144)/SUM($D$2:$D$2846)</f>
        <v>0.63177570093457946</v>
      </c>
      <c r="F144" s="22" t="s">
        <v>53</v>
      </c>
      <c r="G144" s="25" t="s">
        <v>125</v>
      </c>
    </row>
    <row r="145" spans="1:7">
      <c r="A145" s="21" t="s">
        <v>281</v>
      </c>
      <c r="B145" s="22" t="s">
        <v>56</v>
      </c>
      <c r="C145" s="22" t="s">
        <v>124</v>
      </c>
      <c r="D145" s="23">
        <v>8</v>
      </c>
      <c r="E145" s="24">
        <f>SUM($D$2:D145)/SUM($D$2:$D$2846)</f>
        <v>0.63245539507221749</v>
      </c>
      <c r="F145" s="22" t="s">
        <v>53</v>
      </c>
      <c r="G145" s="25" t="s">
        <v>125</v>
      </c>
    </row>
    <row r="146" spans="1:7">
      <c r="A146" s="21" t="s">
        <v>282</v>
      </c>
      <c r="B146" s="22" t="s">
        <v>56</v>
      </c>
      <c r="C146" s="22" t="s">
        <v>124</v>
      </c>
      <c r="D146" s="23">
        <v>8</v>
      </c>
      <c r="E146" s="24">
        <f>SUM($D$2:D146)/SUM($D$2:$D$2846)</f>
        <v>0.63313508920985562</v>
      </c>
      <c r="F146" s="22" t="s">
        <v>53</v>
      </c>
      <c r="G146" s="25" t="s">
        <v>125</v>
      </c>
    </row>
    <row r="147" spans="1:7">
      <c r="A147" s="21" t="s">
        <v>283</v>
      </c>
      <c r="B147" s="22" t="s">
        <v>56</v>
      </c>
      <c r="C147" s="22" t="s">
        <v>124</v>
      </c>
      <c r="D147" s="23">
        <v>8</v>
      </c>
      <c r="E147" s="24">
        <f>SUM($D$2:D147)/SUM($D$2:$D$2846)</f>
        <v>0.63381478334749364</v>
      </c>
      <c r="F147" s="22" t="s">
        <v>53</v>
      </c>
      <c r="G147" s="25" t="s">
        <v>125</v>
      </c>
    </row>
    <row r="148" spans="1:7">
      <c r="A148" s="21" t="s">
        <v>284</v>
      </c>
      <c r="B148" s="26" t="s">
        <v>163</v>
      </c>
      <c r="C148" s="22" t="s">
        <v>45</v>
      </c>
      <c r="D148" s="23">
        <v>8</v>
      </c>
      <c r="E148" s="24">
        <f>SUM($D$2:D148)/SUM($D$2:$D$2846)</f>
        <v>0.63449447748513166</v>
      </c>
      <c r="F148" s="22" t="s">
        <v>53</v>
      </c>
      <c r="G148" s="25" t="s">
        <v>164</v>
      </c>
    </row>
    <row r="149" spans="1:7">
      <c r="A149" s="21" t="s">
        <v>285</v>
      </c>
      <c r="B149" s="22" t="s">
        <v>129</v>
      </c>
      <c r="C149" s="22" t="s">
        <v>124</v>
      </c>
      <c r="D149" s="23">
        <v>8</v>
      </c>
      <c r="E149" s="24">
        <f>SUM($D$2:D149)/SUM($D$2:$D$2846)</f>
        <v>0.63517417162276979</v>
      </c>
      <c r="F149" s="22" t="s">
        <v>53</v>
      </c>
      <c r="G149" s="25" t="s">
        <v>130</v>
      </c>
    </row>
    <row r="150" spans="1:7">
      <c r="A150" s="21" t="s">
        <v>286</v>
      </c>
      <c r="B150" s="22" t="s">
        <v>56</v>
      </c>
      <c r="C150" s="22" t="s">
        <v>124</v>
      </c>
      <c r="D150" s="23">
        <v>8</v>
      </c>
      <c r="E150" s="24">
        <f>SUM($D$2:D150)/SUM($D$2:$D$2846)</f>
        <v>0.63585386576040781</v>
      </c>
      <c r="F150" s="22" t="s">
        <v>53</v>
      </c>
      <c r="G150" s="25" t="s">
        <v>125</v>
      </c>
    </row>
    <row r="151" spans="1:7">
      <c r="A151" s="21" t="s">
        <v>287</v>
      </c>
      <c r="B151" s="22" t="s">
        <v>56</v>
      </c>
      <c r="C151" s="22" t="s">
        <v>124</v>
      </c>
      <c r="D151" s="23">
        <v>8</v>
      </c>
      <c r="E151" s="24">
        <f>SUM($D$2:D151)/SUM($D$2:$D$2846)</f>
        <v>0.63653355989804583</v>
      </c>
      <c r="F151" s="22" t="s">
        <v>53</v>
      </c>
      <c r="G151" s="25" t="s">
        <v>125</v>
      </c>
    </row>
    <row r="152" spans="1:7">
      <c r="A152" s="21" t="s">
        <v>288</v>
      </c>
      <c r="B152" s="22" t="s">
        <v>56</v>
      </c>
      <c r="C152" s="22" t="s">
        <v>124</v>
      </c>
      <c r="D152" s="23">
        <v>8</v>
      </c>
      <c r="E152" s="24">
        <f>SUM($D$2:D152)/SUM($D$2:$D$2846)</f>
        <v>0.63721325403568396</v>
      </c>
      <c r="F152" s="22" t="s">
        <v>53</v>
      </c>
      <c r="G152" s="25" t="s">
        <v>125</v>
      </c>
    </row>
    <row r="153" spans="1:7">
      <c r="A153" s="21" t="s">
        <v>289</v>
      </c>
      <c r="B153" s="22" t="s">
        <v>56</v>
      </c>
      <c r="C153" s="22" t="s">
        <v>124</v>
      </c>
      <c r="D153" s="23">
        <v>8</v>
      </c>
      <c r="E153" s="24">
        <f>SUM($D$2:D153)/SUM($D$2:$D$2846)</f>
        <v>0.63789294817332198</v>
      </c>
      <c r="F153" s="22" t="s">
        <v>53</v>
      </c>
      <c r="G153" s="25" t="s">
        <v>125</v>
      </c>
    </row>
    <row r="154" spans="1:7">
      <c r="A154" s="21" t="s">
        <v>290</v>
      </c>
      <c r="B154" s="22" t="s">
        <v>56</v>
      </c>
      <c r="C154" s="22" t="s">
        <v>124</v>
      </c>
      <c r="D154" s="23">
        <v>8</v>
      </c>
      <c r="E154" s="24">
        <f>SUM($D$2:D154)/SUM($D$2:$D$2846)</f>
        <v>0.63857264231096011</v>
      </c>
      <c r="F154" s="22" t="s">
        <v>53</v>
      </c>
      <c r="G154" s="25" t="s">
        <v>125</v>
      </c>
    </row>
    <row r="155" spans="1:7">
      <c r="A155" s="21" t="s">
        <v>291</v>
      </c>
      <c r="B155" s="22" t="s">
        <v>56</v>
      </c>
      <c r="C155" s="22" t="s">
        <v>124</v>
      </c>
      <c r="D155" s="23">
        <v>7</v>
      </c>
      <c r="E155" s="24">
        <f>SUM($D$2:D155)/SUM($D$2:$D$2846)</f>
        <v>0.6391673746813934</v>
      </c>
      <c r="F155" s="22" t="s">
        <v>46</v>
      </c>
      <c r="G155" s="25" t="s">
        <v>125</v>
      </c>
    </row>
    <row r="156" spans="1:7">
      <c r="A156" s="21" t="s">
        <v>292</v>
      </c>
      <c r="B156" s="22" t="s">
        <v>56</v>
      </c>
      <c r="C156" s="22" t="s">
        <v>124</v>
      </c>
      <c r="D156" s="23">
        <v>7</v>
      </c>
      <c r="E156" s="24">
        <f>SUM($D$2:D156)/SUM($D$2:$D$2846)</f>
        <v>0.63976210705182668</v>
      </c>
      <c r="F156" s="22" t="s">
        <v>46</v>
      </c>
      <c r="G156" s="25" t="s">
        <v>125</v>
      </c>
    </row>
    <row r="157" spans="1:7">
      <c r="A157" s="21" t="s">
        <v>293</v>
      </c>
      <c r="B157" s="22" t="s">
        <v>56</v>
      </c>
      <c r="C157" s="22" t="s">
        <v>124</v>
      </c>
      <c r="D157" s="23">
        <v>7</v>
      </c>
      <c r="E157" s="24">
        <f>SUM($D$2:D157)/SUM($D$2:$D$2846)</f>
        <v>0.64035683942225996</v>
      </c>
      <c r="F157" s="22" t="s">
        <v>46</v>
      </c>
      <c r="G157" s="25" t="s">
        <v>125</v>
      </c>
    </row>
    <row r="158" spans="1:7">
      <c r="A158" s="21" t="s">
        <v>294</v>
      </c>
      <c r="B158" s="22" t="s">
        <v>56</v>
      </c>
      <c r="C158" s="22" t="s">
        <v>124</v>
      </c>
      <c r="D158" s="23">
        <v>7</v>
      </c>
      <c r="E158" s="24">
        <f>SUM($D$2:D158)/SUM($D$2:$D$2846)</f>
        <v>0.64095157179269324</v>
      </c>
      <c r="F158" s="22" t="s">
        <v>46</v>
      </c>
      <c r="G158" s="25" t="s">
        <v>125</v>
      </c>
    </row>
    <row r="159" spans="1:7">
      <c r="A159" s="21" t="s">
        <v>295</v>
      </c>
      <c r="B159" s="22" t="s">
        <v>56</v>
      </c>
      <c r="C159" s="22" t="s">
        <v>124</v>
      </c>
      <c r="D159" s="23">
        <v>7</v>
      </c>
      <c r="E159" s="24">
        <f>SUM($D$2:D159)/SUM($D$2:$D$2846)</f>
        <v>0.64154630416312663</v>
      </c>
      <c r="F159" s="22" t="s">
        <v>46</v>
      </c>
      <c r="G159" s="25" t="s">
        <v>125</v>
      </c>
    </row>
    <row r="160" spans="1:7">
      <c r="A160" s="21" t="s">
        <v>296</v>
      </c>
      <c r="B160" s="22" t="s">
        <v>56</v>
      </c>
      <c r="C160" s="22" t="s">
        <v>124</v>
      </c>
      <c r="D160" s="23">
        <v>7</v>
      </c>
      <c r="E160" s="24">
        <f>SUM($D$2:D160)/SUM($D$2:$D$2846)</f>
        <v>0.64214103653355992</v>
      </c>
      <c r="F160" s="22" t="s">
        <v>46</v>
      </c>
      <c r="G160" s="25" t="s">
        <v>125</v>
      </c>
    </row>
    <row r="161" spans="1:7">
      <c r="A161" s="21" t="s">
        <v>297</v>
      </c>
      <c r="B161" s="26" t="s">
        <v>163</v>
      </c>
      <c r="C161" s="22" t="s">
        <v>45</v>
      </c>
      <c r="D161" s="23">
        <v>7</v>
      </c>
      <c r="E161" s="24">
        <f>SUM($D$2:D161)/SUM($D$2:$D$2846)</f>
        <v>0.6427357689039932</v>
      </c>
      <c r="F161" s="22" t="s">
        <v>46</v>
      </c>
      <c r="G161" s="25" t="s">
        <v>164</v>
      </c>
    </row>
    <row r="162" spans="1:7">
      <c r="A162" s="21" t="s">
        <v>43</v>
      </c>
      <c r="B162" s="26" t="s">
        <v>44</v>
      </c>
      <c r="C162" s="22" t="s">
        <v>45</v>
      </c>
      <c r="D162" s="23">
        <v>7</v>
      </c>
      <c r="E162" s="24">
        <f>SUM($D$2:D162)/SUM($D$2:$D$2846)</f>
        <v>0.64333050127442648</v>
      </c>
      <c r="F162" s="22" t="s">
        <v>46</v>
      </c>
      <c r="G162" s="25" t="s">
        <v>47</v>
      </c>
    </row>
    <row r="163" spans="1:7">
      <c r="A163" s="21" t="s">
        <v>298</v>
      </c>
      <c r="B163" s="22" t="s">
        <v>56</v>
      </c>
      <c r="C163" s="22" t="s">
        <v>124</v>
      </c>
      <c r="D163" s="23">
        <v>7</v>
      </c>
      <c r="E163" s="24">
        <f>SUM($D$2:D163)/SUM($D$2:$D$2846)</f>
        <v>0.64392523364485976</v>
      </c>
      <c r="F163" s="22" t="s">
        <v>46</v>
      </c>
      <c r="G163" s="25" t="s">
        <v>125</v>
      </c>
    </row>
    <row r="164" spans="1:7">
      <c r="A164" s="21" t="s">
        <v>299</v>
      </c>
      <c r="B164" s="22" t="s">
        <v>56</v>
      </c>
      <c r="C164" s="22" t="s">
        <v>124</v>
      </c>
      <c r="D164" s="23">
        <v>7</v>
      </c>
      <c r="E164" s="24">
        <f>SUM($D$2:D164)/SUM($D$2:$D$2846)</f>
        <v>0.64451996601529316</v>
      </c>
      <c r="F164" s="22" t="s">
        <v>46</v>
      </c>
      <c r="G164" s="25" t="s">
        <v>125</v>
      </c>
    </row>
    <row r="165" spans="1:7">
      <c r="A165" s="21" t="s">
        <v>300</v>
      </c>
      <c r="B165" s="22" t="s">
        <v>56</v>
      </c>
      <c r="C165" s="22" t="s">
        <v>124</v>
      </c>
      <c r="D165" s="23">
        <v>7</v>
      </c>
      <c r="E165" s="24">
        <f>SUM($D$2:D165)/SUM($D$2:$D$2846)</f>
        <v>0.64511469838572644</v>
      </c>
      <c r="F165" s="22" t="s">
        <v>46</v>
      </c>
      <c r="G165" s="25" t="s">
        <v>125</v>
      </c>
    </row>
    <row r="166" spans="1:7">
      <c r="A166" s="21" t="s">
        <v>301</v>
      </c>
      <c r="B166" s="22" t="s">
        <v>56</v>
      </c>
      <c r="C166" s="22" t="s">
        <v>124</v>
      </c>
      <c r="D166" s="23">
        <v>7</v>
      </c>
      <c r="E166" s="24">
        <f>SUM($D$2:D166)/SUM($D$2:$D$2846)</f>
        <v>0.64570943075615972</v>
      </c>
      <c r="F166" s="22" t="s">
        <v>46</v>
      </c>
      <c r="G166" s="25" t="s">
        <v>125</v>
      </c>
    </row>
    <row r="167" spans="1:7">
      <c r="A167" s="21" t="s">
        <v>302</v>
      </c>
      <c r="B167" s="22" t="s">
        <v>56</v>
      </c>
      <c r="C167" s="22" t="s">
        <v>124</v>
      </c>
      <c r="D167" s="23">
        <v>7</v>
      </c>
      <c r="E167" s="24">
        <f>SUM($D$2:D167)/SUM($D$2:$D$2846)</f>
        <v>0.646304163126593</v>
      </c>
      <c r="F167" s="22" t="s">
        <v>46</v>
      </c>
      <c r="G167" s="25" t="s">
        <v>125</v>
      </c>
    </row>
    <row r="168" spans="1:7">
      <c r="A168" s="21" t="s">
        <v>303</v>
      </c>
      <c r="B168" s="22" t="s">
        <v>56</v>
      </c>
      <c r="C168" s="22" t="s">
        <v>124</v>
      </c>
      <c r="D168" s="23">
        <v>7</v>
      </c>
      <c r="E168" s="24">
        <f>SUM($D$2:D168)/SUM($D$2:$D$2846)</f>
        <v>0.64689889549702628</v>
      </c>
      <c r="F168" s="22" t="s">
        <v>46</v>
      </c>
      <c r="G168" s="25" t="s">
        <v>125</v>
      </c>
    </row>
    <row r="169" spans="1:7">
      <c r="A169" s="21" t="s">
        <v>304</v>
      </c>
      <c r="B169" s="22" t="s">
        <v>56</v>
      </c>
      <c r="C169" s="22" t="s">
        <v>124</v>
      </c>
      <c r="D169" s="23">
        <v>7</v>
      </c>
      <c r="E169" s="24">
        <f>SUM($D$2:D169)/SUM($D$2:$D$2846)</f>
        <v>0.64749362786745968</v>
      </c>
      <c r="F169" s="22" t="s">
        <v>46</v>
      </c>
      <c r="G169" s="25" t="s">
        <v>125</v>
      </c>
    </row>
    <row r="170" spans="1:7">
      <c r="A170" s="21" t="s">
        <v>305</v>
      </c>
      <c r="B170" s="22" t="s">
        <v>129</v>
      </c>
      <c r="C170" s="22" t="s">
        <v>124</v>
      </c>
      <c r="D170" s="23">
        <v>7</v>
      </c>
      <c r="E170" s="24">
        <f>SUM($D$2:D170)/SUM($D$2:$D$2846)</f>
        <v>0.64808836023789296</v>
      </c>
      <c r="F170" s="22" t="s">
        <v>46</v>
      </c>
      <c r="G170" s="25" t="s">
        <v>130</v>
      </c>
    </row>
    <row r="171" spans="1:7">
      <c r="A171" s="21" t="s">
        <v>306</v>
      </c>
      <c r="B171" s="22" t="s">
        <v>56</v>
      </c>
      <c r="C171" s="22" t="s">
        <v>124</v>
      </c>
      <c r="D171" s="23">
        <v>7</v>
      </c>
      <c r="E171" s="24">
        <f>SUM($D$2:D171)/SUM($D$2:$D$2846)</f>
        <v>0.64868309260832624</v>
      </c>
      <c r="F171" s="22" t="s">
        <v>53</v>
      </c>
      <c r="G171" s="25" t="s">
        <v>125</v>
      </c>
    </row>
    <row r="172" spans="1:7">
      <c r="A172" s="21" t="s">
        <v>307</v>
      </c>
      <c r="B172" s="22" t="s">
        <v>56</v>
      </c>
      <c r="C172" s="22" t="s">
        <v>124</v>
      </c>
      <c r="D172" s="23">
        <v>7</v>
      </c>
      <c r="E172" s="24">
        <f>SUM($D$2:D172)/SUM($D$2:$D$2846)</f>
        <v>0.64927782497875952</v>
      </c>
      <c r="F172" s="22" t="s">
        <v>53</v>
      </c>
      <c r="G172" s="25" t="s">
        <v>125</v>
      </c>
    </row>
    <row r="173" spans="1:7">
      <c r="A173" s="21" t="s">
        <v>308</v>
      </c>
      <c r="B173" s="22" t="s">
        <v>56</v>
      </c>
      <c r="C173" s="22" t="s">
        <v>124</v>
      </c>
      <c r="D173" s="23">
        <v>7</v>
      </c>
      <c r="E173" s="24">
        <f>SUM($D$2:D173)/SUM($D$2:$D$2846)</f>
        <v>0.64987255734919291</v>
      </c>
      <c r="F173" s="22" t="s">
        <v>53</v>
      </c>
      <c r="G173" s="25" t="s">
        <v>125</v>
      </c>
    </row>
    <row r="174" spans="1:7">
      <c r="A174" s="21" t="s">
        <v>309</v>
      </c>
      <c r="B174" s="22" t="s">
        <v>56</v>
      </c>
      <c r="C174" s="22" t="s">
        <v>124</v>
      </c>
      <c r="D174" s="23">
        <v>7</v>
      </c>
      <c r="E174" s="24">
        <f>SUM($D$2:D174)/SUM($D$2:$D$2846)</f>
        <v>0.6504672897196262</v>
      </c>
      <c r="F174" s="22" t="s">
        <v>53</v>
      </c>
      <c r="G174" s="25" t="s">
        <v>125</v>
      </c>
    </row>
    <row r="175" spans="1:7">
      <c r="A175" s="21" t="s">
        <v>310</v>
      </c>
      <c r="B175" s="22" t="s">
        <v>56</v>
      </c>
      <c r="C175" s="22" t="s">
        <v>124</v>
      </c>
      <c r="D175" s="23">
        <v>7</v>
      </c>
      <c r="E175" s="24">
        <f>SUM($D$2:D175)/SUM($D$2:$D$2846)</f>
        <v>0.65106202209005948</v>
      </c>
      <c r="F175" s="22" t="s">
        <v>53</v>
      </c>
      <c r="G175" s="25" t="s">
        <v>125</v>
      </c>
    </row>
    <row r="176" spans="1:7">
      <c r="A176" s="21" t="s">
        <v>311</v>
      </c>
      <c r="B176" s="22" t="s">
        <v>56</v>
      </c>
      <c r="C176" s="22" t="s">
        <v>124</v>
      </c>
      <c r="D176" s="23">
        <v>7</v>
      </c>
      <c r="E176" s="24">
        <f>SUM($D$2:D176)/SUM($D$2:$D$2846)</f>
        <v>0.65165675446049276</v>
      </c>
      <c r="F176" s="22" t="s">
        <v>53</v>
      </c>
      <c r="G176" s="25" t="s">
        <v>125</v>
      </c>
    </row>
    <row r="177" spans="1:7">
      <c r="A177" s="21" t="s">
        <v>312</v>
      </c>
      <c r="B177" s="22" t="s">
        <v>56</v>
      </c>
      <c r="C177" s="22" t="s">
        <v>124</v>
      </c>
      <c r="D177" s="23">
        <v>7</v>
      </c>
      <c r="E177" s="24">
        <f>SUM($D$2:D177)/SUM($D$2:$D$2846)</f>
        <v>0.65225148683092604</v>
      </c>
      <c r="F177" s="22" t="s">
        <v>53</v>
      </c>
      <c r="G177" s="25" t="s">
        <v>125</v>
      </c>
    </row>
    <row r="178" spans="1:7">
      <c r="A178" s="21" t="s">
        <v>313</v>
      </c>
      <c r="B178" s="22" t="s">
        <v>56</v>
      </c>
      <c r="C178" s="22" t="s">
        <v>124</v>
      </c>
      <c r="D178" s="23">
        <v>7</v>
      </c>
      <c r="E178" s="24">
        <f>SUM($D$2:D178)/SUM($D$2:$D$2846)</f>
        <v>0.65284621920135943</v>
      </c>
      <c r="F178" s="22" t="s">
        <v>53</v>
      </c>
      <c r="G178" s="25" t="s">
        <v>125</v>
      </c>
    </row>
    <row r="179" spans="1:7">
      <c r="A179" s="21" t="s">
        <v>314</v>
      </c>
      <c r="B179" s="22" t="s">
        <v>56</v>
      </c>
      <c r="C179" s="22" t="s">
        <v>124</v>
      </c>
      <c r="D179" s="23">
        <v>7</v>
      </c>
      <c r="E179" s="24">
        <f>SUM($D$2:D179)/SUM($D$2:$D$2846)</f>
        <v>0.65344095157179272</v>
      </c>
      <c r="F179" s="22" t="s">
        <v>53</v>
      </c>
      <c r="G179" s="25" t="s">
        <v>125</v>
      </c>
    </row>
    <row r="180" spans="1:7">
      <c r="A180" s="21" t="s">
        <v>315</v>
      </c>
      <c r="B180" s="22" t="s">
        <v>56</v>
      </c>
      <c r="C180" s="22" t="s">
        <v>124</v>
      </c>
      <c r="D180" s="23">
        <v>7</v>
      </c>
      <c r="E180" s="24">
        <f>SUM($D$2:D180)/SUM($D$2:$D$2846)</f>
        <v>0.654035683942226</v>
      </c>
      <c r="F180" s="22" t="s">
        <v>53</v>
      </c>
      <c r="G180" s="25" t="s">
        <v>125</v>
      </c>
    </row>
    <row r="181" spans="1:7">
      <c r="A181" s="21" t="s">
        <v>316</v>
      </c>
      <c r="B181" s="22" t="s">
        <v>56</v>
      </c>
      <c r="C181" s="22" t="s">
        <v>124</v>
      </c>
      <c r="D181" s="23">
        <v>7</v>
      </c>
      <c r="E181" s="24">
        <f>SUM($D$2:D181)/SUM($D$2:$D$2846)</f>
        <v>0.65463041631265928</v>
      </c>
      <c r="F181" s="22" t="s">
        <v>53</v>
      </c>
      <c r="G181" s="25" t="s">
        <v>125</v>
      </c>
    </row>
    <row r="182" spans="1:7">
      <c r="A182" s="21" t="s">
        <v>317</v>
      </c>
      <c r="B182" s="22" t="s">
        <v>56</v>
      </c>
      <c r="C182" s="22" t="s">
        <v>124</v>
      </c>
      <c r="D182" s="23">
        <v>7</v>
      </c>
      <c r="E182" s="24">
        <f>SUM($D$2:D182)/SUM($D$2:$D$2846)</f>
        <v>0.65522514868309256</v>
      </c>
      <c r="F182" s="22" t="s">
        <v>53</v>
      </c>
      <c r="G182" s="25" t="s">
        <v>125</v>
      </c>
    </row>
    <row r="183" spans="1:7">
      <c r="A183" s="21" t="s">
        <v>318</v>
      </c>
      <c r="B183" s="22" t="s">
        <v>56</v>
      </c>
      <c r="C183" s="22" t="s">
        <v>124</v>
      </c>
      <c r="D183" s="23">
        <v>7</v>
      </c>
      <c r="E183" s="24">
        <f>SUM($D$2:D183)/SUM($D$2:$D$2846)</f>
        <v>0.65581988105352595</v>
      </c>
      <c r="F183" s="22" t="s">
        <v>53</v>
      </c>
      <c r="G183" s="25" t="s">
        <v>125</v>
      </c>
    </row>
    <row r="184" spans="1:7">
      <c r="A184" s="21" t="s">
        <v>319</v>
      </c>
      <c r="B184" s="22" t="s">
        <v>56</v>
      </c>
      <c r="C184" s="22" t="s">
        <v>124</v>
      </c>
      <c r="D184" s="23">
        <v>7</v>
      </c>
      <c r="E184" s="24">
        <f>SUM($D$2:D184)/SUM($D$2:$D$2846)</f>
        <v>0.65641461342395924</v>
      </c>
      <c r="F184" s="22" t="s">
        <v>53</v>
      </c>
      <c r="G184" s="25" t="s">
        <v>125</v>
      </c>
    </row>
    <row r="185" spans="1:7">
      <c r="A185" s="21" t="s">
        <v>320</v>
      </c>
      <c r="B185" s="22" t="s">
        <v>56</v>
      </c>
      <c r="C185" s="22" t="s">
        <v>124</v>
      </c>
      <c r="D185" s="23">
        <v>7</v>
      </c>
      <c r="E185" s="24">
        <f>SUM($D$2:D185)/SUM($D$2:$D$2846)</f>
        <v>0.65700934579439252</v>
      </c>
      <c r="F185" s="22" t="s">
        <v>53</v>
      </c>
      <c r="G185" s="25" t="s">
        <v>125</v>
      </c>
    </row>
    <row r="186" spans="1:7">
      <c r="A186" s="21" t="s">
        <v>321</v>
      </c>
      <c r="B186" s="22" t="s">
        <v>44</v>
      </c>
      <c r="C186" s="22" t="s">
        <v>124</v>
      </c>
      <c r="D186" s="23">
        <v>7</v>
      </c>
      <c r="E186" s="24">
        <f>SUM($D$2:D186)/SUM($D$2:$D$2846)</f>
        <v>0.6576040781648258</v>
      </c>
      <c r="F186" s="22" t="s">
        <v>53</v>
      </c>
      <c r="G186" s="25" t="s">
        <v>150</v>
      </c>
    </row>
    <row r="187" spans="1:7">
      <c r="A187" s="21" t="s">
        <v>322</v>
      </c>
      <c r="B187" s="22" t="s">
        <v>56</v>
      </c>
      <c r="C187" s="22" t="s">
        <v>124</v>
      </c>
      <c r="D187" s="23">
        <v>7</v>
      </c>
      <c r="E187" s="24">
        <f>SUM($D$2:D187)/SUM($D$2:$D$2846)</f>
        <v>0.65819881053525908</v>
      </c>
      <c r="F187" s="22" t="s">
        <v>53</v>
      </c>
      <c r="G187" s="25" t="s">
        <v>125</v>
      </c>
    </row>
    <row r="188" spans="1:7">
      <c r="A188" s="21" t="s">
        <v>323</v>
      </c>
      <c r="B188" s="22" t="s">
        <v>56</v>
      </c>
      <c r="C188" s="22" t="s">
        <v>124</v>
      </c>
      <c r="D188" s="23">
        <v>7</v>
      </c>
      <c r="E188" s="24">
        <f>SUM($D$2:D188)/SUM($D$2:$D$2846)</f>
        <v>0.65879354290569248</v>
      </c>
      <c r="F188" s="22" t="s">
        <v>53</v>
      </c>
      <c r="G188" s="25" t="s">
        <v>125</v>
      </c>
    </row>
    <row r="189" spans="1:7">
      <c r="A189" s="21" t="s">
        <v>324</v>
      </c>
      <c r="B189" s="22" t="s">
        <v>129</v>
      </c>
      <c r="C189" s="22" t="s">
        <v>124</v>
      </c>
      <c r="D189" s="23">
        <v>7</v>
      </c>
      <c r="E189" s="24">
        <f>SUM($D$2:D189)/SUM($D$2:$D$2846)</f>
        <v>0.65938827527612576</v>
      </c>
      <c r="F189" s="22" t="s">
        <v>53</v>
      </c>
      <c r="G189" s="25" t="s">
        <v>130</v>
      </c>
    </row>
    <row r="190" spans="1:7">
      <c r="A190" s="21" t="s">
        <v>325</v>
      </c>
      <c r="B190" s="22" t="s">
        <v>129</v>
      </c>
      <c r="C190" s="22" t="s">
        <v>124</v>
      </c>
      <c r="D190" s="23">
        <v>7</v>
      </c>
      <c r="E190" s="24">
        <f>SUM($D$2:D190)/SUM($D$2:$D$2846)</f>
        <v>0.65998300764655904</v>
      </c>
      <c r="F190" s="22" t="s">
        <v>53</v>
      </c>
      <c r="G190" s="25" t="s">
        <v>130</v>
      </c>
    </row>
    <row r="191" spans="1:7">
      <c r="A191" s="21" t="s">
        <v>326</v>
      </c>
      <c r="B191" s="22" t="s">
        <v>56</v>
      </c>
      <c r="C191" s="22" t="s">
        <v>124</v>
      </c>
      <c r="D191" s="23">
        <v>7</v>
      </c>
      <c r="E191" s="24">
        <f>SUM($D$2:D191)/SUM($D$2:$D$2846)</f>
        <v>0.66057774001699232</v>
      </c>
      <c r="F191" s="22" t="s">
        <v>53</v>
      </c>
      <c r="G191" s="25" t="s">
        <v>125</v>
      </c>
    </row>
    <row r="192" spans="1:7">
      <c r="A192" s="21" t="s">
        <v>327</v>
      </c>
      <c r="B192" s="22" t="s">
        <v>56</v>
      </c>
      <c r="C192" s="22" t="s">
        <v>124</v>
      </c>
      <c r="D192" s="23">
        <v>7</v>
      </c>
      <c r="E192" s="24">
        <f>SUM($D$2:D192)/SUM($D$2:$D$2846)</f>
        <v>0.66117247238742571</v>
      </c>
      <c r="F192" s="22" t="s">
        <v>53</v>
      </c>
      <c r="G192" s="25" t="s">
        <v>125</v>
      </c>
    </row>
    <row r="193" spans="1:7">
      <c r="A193" s="21" t="s">
        <v>328</v>
      </c>
      <c r="B193" s="22" t="s">
        <v>56</v>
      </c>
      <c r="C193" s="22" t="s">
        <v>124</v>
      </c>
      <c r="D193" s="23">
        <v>6</v>
      </c>
      <c r="E193" s="24">
        <f>SUM($D$2:D193)/SUM($D$2:$D$2846)</f>
        <v>0.66168224299065426</v>
      </c>
      <c r="F193" s="22" t="s">
        <v>46</v>
      </c>
      <c r="G193" s="25" t="s">
        <v>125</v>
      </c>
    </row>
    <row r="194" spans="1:7">
      <c r="A194" s="21" t="s">
        <v>329</v>
      </c>
      <c r="B194" s="22" t="s">
        <v>56</v>
      </c>
      <c r="C194" s="22" t="s">
        <v>124</v>
      </c>
      <c r="D194" s="23">
        <v>6</v>
      </c>
      <c r="E194" s="24">
        <f>SUM($D$2:D194)/SUM($D$2:$D$2846)</f>
        <v>0.6621920135938828</v>
      </c>
      <c r="F194" s="22" t="s">
        <v>46</v>
      </c>
      <c r="G194" s="25" t="s">
        <v>125</v>
      </c>
    </row>
    <row r="195" spans="1:7">
      <c r="A195" s="21" t="s">
        <v>330</v>
      </c>
      <c r="B195" s="22" t="s">
        <v>56</v>
      </c>
      <c r="C195" s="22" t="s">
        <v>124</v>
      </c>
      <c r="D195" s="23">
        <v>6</v>
      </c>
      <c r="E195" s="24">
        <f>SUM($D$2:D195)/SUM($D$2:$D$2846)</f>
        <v>0.66270178419711134</v>
      </c>
      <c r="F195" s="22" t="s">
        <v>46</v>
      </c>
      <c r="G195" s="25" t="s">
        <v>125</v>
      </c>
    </row>
    <row r="196" spans="1:7">
      <c r="A196" s="21" t="s">
        <v>48</v>
      </c>
      <c r="B196" s="26" t="s">
        <v>44</v>
      </c>
      <c r="C196" s="22" t="s">
        <v>45</v>
      </c>
      <c r="D196" s="23">
        <v>6</v>
      </c>
      <c r="E196" s="24">
        <f>SUM($D$2:D196)/SUM($D$2:$D$2846)</f>
        <v>0.66321155480033989</v>
      </c>
      <c r="F196" s="22" t="s">
        <v>46</v>
      </c>
      <c r="G196" s="25" t="s">
        <v>47</v>
      </c>
    </row>
    <row r="197" spans="1:7">
      <c r="A197" s="21" t="s">
        <v>331</v>
      </c>
      <c r="B197" s="22" t="s">
        <v>44</v>
      </c>
      <c r="C197" s="22" t="s">
        <v>124</v>
      </c>
      <c r="D197" s="23">
        <v>6</v>
      </c>
      <c r="E197" s="24">
        <f>SUM($D$2:D197)/SUM($D$2:$D$2846)</f>
        <v>0.66372132540356843</v>
      </c>
      <c r="F197" s="22" t="s">
        <v>46</v>
      </c>
      <c r="G197" s="25" t="s">
        <v>332</v>
      </c>
    </row>
    <row r="198" spans="1:7">
      <c r="A198" s="21" t="s">
        <v>49</v>
      </c>
      <c r="B198" s="26" t="s">
        <v>44</v>
      </c>
      <c r="C198" s="22" t="s">
        <v>45</v>
      </c>
      <c r="D198" s="23">
        <v>6</v>
      </c>
      <c r="E198" s="24">
        <f>SUM($D$2:D198)/SUM($D$2:$D$2846)</f>
        <v>0.66423109600679697</v>
      </c>
      <c r="F198" s="22" t="s">
        <v>46</v>
      </c>
      <c r="G198" s="25" t="s">
        <v>47</v>
      </c>
    </row>
    <row r="199" spans="1:7">
      <c r="A199" s="21" t="s">
        <v>333</v>
      </c>
      <c r="B199" s="22" t="s">
        <v>56</v>
      </c>
      <c r="C199" s="22" t="s">
        <v>124</v>
      </c>
      <c r="D199" s="23">
        <v>6</v>
      </c>
      <c r="E199" s="24">
        <f>SUM($D$2:D199)/SUM($D$2:$D$2846)</f>
        <v>0.66474086661002552</v>
      </c>
      <c r="F199" s="22" t="s">
        <v>46</v>
      </c>
      <c r="G199" s="25" t="s">
        <v>125</v>
      </c>
    </row>
    <row r="200" spans="1:7">
      <c r="A200" s="21" t="s">
        <v>334</v>
      </c>
      <c r="B200" s="22" t="s">
        <v>56</v>
      </c>
      <c r="C200" s="22" t="s">
        <v>124</v>
      </c>
      <c r="D200" s="23">
        <v>6</v>
      </c>
      <c r="E200" s="24">
        <f>SUM($D$2:D200)/SUM($D$2:$D$2846)</f>
        <v>0.66525063721325406</v>
      </c>
      <c r="F200" s="22" t="s">
        <v>46</v>
      </c>
      <c r="G200" s="25" t="s">
        <v>125</v>
      </c>
    </row>
    <row r="201" spans="1:7">
      <c r="A201" s="21" t="s">
        <v>50</v>
      </c>
      <c r="B201" s="26" t="s">
        <v>44</v>
      </c>
      <c r="C201" s="22" t="s">
        <v>45</v>
      </c>
      <c r="D201" s="23">
        <v>6</v>
      </c>
      <c r="E201" s="24">
        <f>SUM($D$2:D201)/SUM($D$2:$D$2846)</f>
        <v>0.6657604078164826</v>
      </c>
      <c r="F201" s="22" t="s">
        <v>46</v>
      </c>
      <c r="G201" s="25" t="s">
        <v>47</v>
      </c>
    </row>
    <row r="202" spans="1:7">
      <c r="A202" s="21" t="s">
        <v>335</v>
      </c>
      <c r="B202" s="22" t="s">
        <v>56</v>
      </c>
      <c r="C202" s="22" t="s">
        <v>124</v>
      </c>
      <c r="D202" s="23">
        <v>6</v>
      </c>
      <c r="E202" s="24">
        <f>SUM($D$2:D202)/SUM($D$2:$D$2846)</f>
        <v>0.66627017841971115</v>
      </c>
      <c r="F202" s="22" t="s">
        <v>46</v>
      </c>
      <c r="G202" s="25" t="s">
        <v>125</v>
      </c>
    </row>
    <row r="203" spans="1:7">
      <c r="A203" s="21" t="s">
        <v>336</v>
      </c>
      <c r="B203" s="26" t="s">
        <v>163</v>
      </c>
      <c r="C203" s="22" t="s">
        <v>45</v>
      </c>
      <c r="D203" s="23">
        <v>6</v>
      </c>
      <c r="E203" s="24">
        <f>SUM($D$2:D203)/SUM($D$2:$D$2846)</f>
        <v>0.66677994902293969</v>
      </c>
      <c r="F203" s="22" t="s">
        <v>46</v>
      </c>
      <c r="G203" s="25" t="s">
        <v>164</v>
      </c>
    </row>
    <row r="204" spans="1:7">
      <c r="A204" s="21" t="s">
        <v>337</v>
      </c>
      <c r="B204" s="22" t="s">
        <v>56</v>
      </c>
      <c r="C204" s="22" t="s">
        <v>124</v>
      </c>
      <c r="D204" s="23">
        <v>6</v>
      </c>
      <c r="E204" s="24">
        <f>SUM($D$2:D204)/SUM($D$2:$D$2846)</f>
        <v>0.66728971962616823</v>
      </c>
      <c r="F204" s="22" t="s">
        <v>46</v>
      </c>
      <c r="G204" s="25" t="s">
        <v>125</v>
      </c>
    </row>
    <row r="205" spans="1:7">
      <c r="A205" s="21" t="s">
        <v>338</v>
      </c>
      <c r="B205" s="22" t="s">
        <v>56</v>
      </c>
      <c r="C205" s="22" t="s">
        <v>124</v>
      </c>
      <c r="D205" s="23">
        <v>6</v>
      </c>
      <c r="E205" s="24">
        <f>SUM($D$2:D205)/SUM($D$2:$D$2846)</f>
        <v>0.66779949022939677</v>
      </c>
      <c r="F205" s="22" t="s">
        <v>46</v>
      </c>
      <c r="G205" s="25" t="s">
        <v>125</v>
      </c>
    </row>
    <row r="206" spans="1:7">
      <c r="A206" s="21" t="s">
        <v>339</v>
      </c>
      <c r="B206" s="22" t="s">
        <v>56</v>
      </c>
      <c r="C206" s="22" t="s">
        <v>124</v>
      </c>
      <c r="D206" s="23">
        <v>6</v>
      </c>
      <c r="E206" s="24">
        <f>SUM($D$2:D206)/SUM($D$2:$D$2846)</f>
        <v>0.66830926083262532</v>
      </c>
      <c r="F206" s="22" t="s">
        <v>46</v>
      </c>
      <c r="G206" s="25" t="s">
        <v>125</v>
      </c>
    </row>
    <row r="207" spans="1:7">
      <c r="A207" s="21" t="s">
        <v>340</v>
      </c>
      <c r="B207" s="26" t="s">
        <v>163</v>
      </c>
      <c r="C207" s="22" t="s">
        <v>45</v>
      </c>
      <c r="D207" s="23">
        <v>6</v>
      </c>
      <c r="E207" s="24">
        <f>SUM($D$2:D207)/SUM($D$2:$D$2846)</f>
        <v>0.66881903143585386</v>
      </c>
      <c r="F207" s="22" t="s">
        <v>46</v>
      </c>
      <c r="G207" s="25" t="s">
        <v>164</v>
      </c>
    </row>
    <row r="208" spans="1:7">
      <c r="A208" s="21" t="s">
        <v>341</v>
      </c>
      <c r="B208" s="22" t="s">
        <v>56</v>
      </c>
      <c r="C208" s="22" t="s">
        <v>124</v>
      </c>
      <c r="D208" s="23">
        <v>6</v>
      </c>
      <c r="E208" s="24">
        <f>SUM($D$2:D208)/SUM($D$2:$D$2846)</f>
        <v>0.6693288020390824</v>
      </c>
      <c r="F208" s="22" t="s">
        <v>46</v>
      </c>
      <c r="G208" s="25" t="s">
        <v>125</v>
      </c>
    </row>
    <row r="209" spans="1:7">
      <c r="A209" s="21" t="s">
        <v>342</v>
      </c>
      <c r="B209" s="22" t="s">
        <v>56</v>
      </c>
      <c r="C209" s="22" t="s">
        <v>124</v>
      </c>
      <c r="D209" s="23">
        <v>6</v>
      </c>
      <c r="E209" s="24">
        <f>SUM($D$2:D209)/SUM($D$2:$D$2846)</f>
        <v>0.66983857264231095</v>
      </c>
      <c r="F209" s="22" t="s">
        <v>53</v>
      </c>
      <c r="G209" s="25" t="s">
        <v>125</v>
      </c>
    </row>
    <row r="210" spans="1:7">
      <c r="A210" s="21" t="s">
        <v>343</v>
      </c>
      <c r="B210" s="22" t="s">
        <v>56</v>
      </c>
      <c r="C210" s="22" t="s">
        <v>124</v>
      </c>
      <c r="D210" s="23">
        <v>6</v>
      </c>
      <c r="E210" s="24">
        <f>SUM($D$2:D210)/SUM($D$2:$D$2846)</f>
        <v>0.67034834324553949</v>
      </c>
      <c r="F210" s="22" t="s">
        <v>53</v>
      </c>
      <c r="G210" s="25" t="s">
        <v>125</v>
      </c>
    </row>
    <row r="211" spans="1:7">
      <c r="A211" s="21" t="s">
        <v>344</v>
      </c>
      <c r="B211" s="22" t="s">
        <v>56</v>
      </c>
      <c r="C211" s="22" t="s">
        <v>124</v>
      </c>
      <c r="D211" s="23">
        <v>6</v>
      </c>
      <c r="E211" s="24">
        <f>SUM($D$2:D211)/SUM($D$2:$D$2846)</f>
        <v>0.67085811384876803</v>
      </c>
      <c r="F211" s="22" t="s">
        <v>53</v>
      </c>
      <c r="G211" s="25" t="s">
        <v>125</v>
      </c>
    </row>
    <row r="212" spans="1:7">
      <c r="A212" s="21" t="s">
        <v>345</v>
      </c>
      <c r="B212" s="22" t="s">
        <v>56</v>
      </c>
      <c r="C212" s="22" t="s">
        <v>124</v>
      </c>
      <c r="D212" s="23">
        <v>6</v>
      </c>
      <c r="E212" s="24">
        <f>SUM($D$2:D212)/SUM($D$2:$D$2846)</f>
        <v>0.67136788445199658</v>
      </c>
      <c r="F212" s="22" t="s">
        <v>53</v>
      </c>
      <c r="G212" s="25" t="s">
        <v>125</v>
      </c>
    </row>
    <row r="213" spans="1:7">
      <c r="A213" s="21" t="s">
        <v>346</v>
      </c>
      <c r="B213" s="22" t="s">
        <v>44</v>
      </c>
      <c r="C213" s="22" t="s">
        <v>124</v>
      </c>
      <c r="D213" s="23">
        <v>6</v>
      </c>
      <c r="E213" s="24">
        <f>SUM($D$2:D213)/SUM($D$2:$D$2846)</f>
        <v>0.67187765505522512</v>
      </c>
      <c r="F213" s="22" t="s">
        <v>53</v>
      </c>
      <c r="G213" s="25" t="s">
        <v>347</v>
      </c>
    </row>
    <row r="214" spans="1:7">
      <c r="A214" s="21" t="s">
        <v>348</v>
      </c>
      <c r="B214" s="22" t="s">
        <v>56</v>
      </c>
      <c r="C214" s="22" t="s">
        <v>124</v>
      </c>
      <c r="D214" s="23">
        <v>6</v>
      </c>
      <c r="E214" s="24">
        <f>SUM($D$2:D214)/SUM($D$2:$D$2846)</f>
        <v>0.67238742565845366</v>
      </c>
      <c r="F214" s="22" t="s">
        <v>53</v>
      </c>
      <c r="G214" s="25" t="s">
        <v>125</v>
      </c>
    </row>
    <row r="215" spans="1:7">
      <c r="A215" s="21" t="s">
        <v>349</v>
      </c>
      <c r="B215" s="22" t="s">
        <v>56</v>
      </c>
      <c r="C215" s="22" t="s">
        <v>124</v>
      </c>
      <c r="D215" s="23">
        <v>6</v>
      </c>
      <c r="E215" s="24">
        <f>SUM($D$2:D215)/SUM($D$2:$D$2846)</f>
        <v>0.67289719626168221</v>
      </c>
      <c r="F215" s="22" t="s">
        <v>53</v>
      </c>
      <c r="G215" s="25" t="s">
        <v>125</v>
      </c>
    </row>
    <row r="216" spans="1:7">
      <c r="A216" s="21" t="s">
        <v>350</v>
      </c>
      <c r="B216" s="22" t="s">
        <v>56</v>
      </c>
      <c r="C216" s="22" t="s">
        <v>124</v>
      </c>
      <c r="D216" s="23">
        <v>6</v>
      </c>
      <c r="E216" s="24">
        <f>SUM($D$2:D216)/SUM($D$2:$D$2846)</f>
        <v>0.67340696686491075</v>
      </c>
      <c r="F216" s="22" t="s">
        <v>53</v>
      </c>
      <c r="G216" s="25" t="s">
        <v>125</v>
      </c>
    </row>
    <row r="217" spans="1:7">
      <c r="A217" s="21" t="s">
        <v>351</v>
      </c>
      <c r="B217" s="22" t="s">
        <v>56</v>
      </c>
      <c r="C217" s="22" t="s">
        <v>124</v>
      </c>
      <c r="D217" s="23">
        <v>6</v>
      </c>
      <c r="E217" s="24">
        <f>SUM($D$2:D217)/SUM($D$2:$D$2846)</f>
        <v>0.67391673746813929</v>
      </c>
      <c r="F217" s="22" t="s">
        <v>53</v>
      </c>
      <c r="G217" s="25" t="s">
        <v>125</v>
      </c>
    </row>
    <row r="218" spans="1:7">
      <c r="A218" s="21" t="s">
        <v>352</v>
      </c>
      <c r="B218" s="26" t="s">
        <v>163</v>
      </c>
      <c r="C218" s="22" t="s">
        <v>45</v>
      </c>
      <c r="D218" s="23">
        <v>6</v>
      </c>
      <c r="E218" s="24">
        <f>SUM($D$2:D218)/SUM($D$2:$D$2846)</f>
        <v>0.67442650807136784</v>
      </c>
      <c r="F218" s="22" t="s">
        <v>53</v>
      </c>
      <c r="G218" s="25" t="s">
        <v>164</v>
      </c>
    </row>
    <row r="219" spans="1:7">
      <c r="A219" s="21" t="s">
        <v>353</v>
      </c>
      <c r="B219" s="22" t="s">
        <v>56</v>
      </c>
      <c r="C219" s="22" t="s">
        <v>124</v>
      </c>
      <c r="D219" s="23">
        <v>6</v>
      </c>
      <c r="E219" s="24">
        <f>SUM($D$2:D219)/SUM($D$2:$D$2846)</f>
        <v>0.67493627867459638</v>
      </c>
      <c r="F219" s="22" t="s">
        <v>53</v>
      </c>
      <c r="G219" s="25" t="s">
        <v>354</v>
      </c>
    </row>
    <row r="220" spans="1:7">
      <c r="A220" s="21" t="s">
        <v>355</v>
      </c>
      <c r="B220" s="22" t="s">
        <v>56</v>
      </c>
      <c r="C220" s="22" t="s">
        <v>124</v>
      </c>
      <c r="D220" s="23">
        <v>6</v>
      </c>
      <c r="E220" s="24">
        <f>SUM($D$2:D220)/SUM($D$2:$D$2846)</f>
        <v>0.67544604927782503</v>
      </c>
      <c r="F220" s="22" t="s">
        <v>53</v>
      </c>
      <c r="G220" s="25" t="s">
        <v>125</v>
      </c>
    </row>
    <row r="221" spans="1:7">
      <c r="A221" s="21" t="s">
        <v>356</v>
      </c>
      <c r="B221" s="22" t="s">
        <v>56</v>
      </c>
      <c r="C221" s="22" t="s">
        <v>124</v>
      </c>
      <c r="D221" s="23">
        <v>6</v>
      </c>
      <c r="E221" s="24">
        <f>SUM($D$2:D221)/SUM($D$2:$D$2846)</f>
        <v>0.67595581988105358</v>
      </c>
      <c r="F221" s="22" t="s">
        <v>53</v>
      </c>
      <c r="G221" s="25" t="s">
        <v>125</v>
      </c>
    </row>
    <row r="222" spans="1:7">
      <c r="A222" s="21" t="s">
        <v>357</v>
      </c>
      <c r="B222" s="22" t="s">
        <v>56</v>
      </c>
      <c r="C222" s="22" t="s">
        <v>124</v>
      </c>
      <c r="D222" s="23">
        <v>6</v>
      </c>
      <c r="E222" s="24">
        <f>SUM($D$2:D222)/SUM($D$2:$D$2846)</f>
        <v>0.67646559048428212</v>
      </c>
      <c r="F222" s="22" t="s">
        <v>53</v>
      </c>
      <c r="G222" s="25" t="s">
        <v>125</v>
      </c>
    </row>
    <row r="223" spans="1:7">
      <c r="A223" s="21" t="s">
        <v>358</v>
      </c>
      <c r="B223" s="22" t="s">
        <v>56</v>
      </c>
      <c r="C223" s="22" t="s">
        <v>124</v>
      </c>
      <c r="D223" s="23">
        <v>6</v>
      </c>
      <c r="E223" s="24">
        <f>SUM($D$2:D223)/SUM($D$2:$D$2846)</f>
        <v>0.67697536108751066</v>
      </c>
      <c r="F223" s="22" t="s">
        <v>53</v>
      </c>
      <c r="G223" s="25" t="s">
        <v>125</v>
      </c>
    </row>
    <row r="224" spans="1:7">
      <c r="A224" s="21" t="s">
        <v>359</v>
      </c>
      <c r="B224" s="22" t="s">
        <v>56</v>
      </c>
      <c r="C224" s="22" t="s">
        <v>124</v>
      </c>
      <c r="D224" s="23">
        <v>6</v>
      </c>
      <c r="E224" s="24">
        <f>SUM($D$2:D224)/SUM($D$2:$D$2846)</f>
        <v>0.67748513169073921</v>
      </c>
      <c r="F224" s="22" t="s">
        <v>53</v>
      </c>
      <c r="G224" s="25" t="s">
        <v>125</v>
      </c>
    </row>
    <row r="225" spans="1:7">
      <c r="A225" s="21" t="s">
        <v>360</v>
      </c>
      <c r="B225" s="22" t="s">
        <v>56</v>
      </c>
      <c r="C225" s="22" t="s">
        <v>124</v>
      </c>
      <c r="D225" s="23">
        <v>6</v>
      </c>
      <c r="E225" s="24">
        <f>SUM($D$2:D225)/SUM($D$2:$D$2846)</f>
        <v>0.67799490229396775</v>
      </c>
      <c r="F225" s="22" t="s">
        <v>53</v>
      </c>
      <c r="G225" s="25" t="s">
        <v>125</v>
      </c>
    </row>
    <row r="226" spans="1:7">
      <c r="A226" s="21" t="s">
        <v>361</v>
      </c>
      <c r="B226" s="22" t="s">
        <v>56</v>
      </c>
      <c r="C226" s="22" t="s">
        <v>124</v>
      </c>
      <c r="D226" s="23">
        <v>6</v>
      </c>
      <c r="E226" s="24">
        <f>SUM($D$2:D226)/SUM($D$2:$D$2846)</f>
        <v>0.67850467289719629</v>
      </c>
      <c r="F226" s="22" t="s">
        <v>53</v>
      </c>
      <c r="G226" s="25" t="s">
        <v>125</v>
      </c>
    </row>
    <row r="227" spans="1:7">
      <c r="A227" s="21" t="s">
        <v>362</v>
      </c>
      <c r="B227" s="22" t="s">
        <v>129</v>
      </c>
      <c r="C227" s="22" t="s">
        <v>124</v>
      </c>
      <c r="D227" s="23">
        <v>6</v>
      </c>
      <c r="E227" s="24">
        <f>SUM($D$2:D227)/SUM($D$2:$D$2846)</f>
        <v>0.67901444350042484</v>
      </c>
      <c r="F227" s="22" t="s">
        <v>53</v>
      </c>
      <c r="G227" s="25" t="s">
        <v>130</v>
      </c>
    </row>
    <row r="228" spans="1:7">
      <c r="A228" s="21" t="s">
        <v>363</v>
      </c>
      <c r="B228" s="22" t="s">
        <v>56</v>
      </c>
      <c r="C228" s="22" t="s">
        <v>124</v>
      </c>
      <c r="D228" s="23">
        <v>6</v>
      </c>
      <c r="E228" s="24">
        <f>SUM($D$2:D228)/SUM($D$2:$D$2846)</f>
        <v>0.67952421410365338</v>
      </c>
      <c r="F228" s="22" t="s">
        <v>53</v>
      </c>
      <c r="G228" s="25" t="s">
        <v>125</v>
      </c>
    </row>
    <row r="229" spans="1:7">
      <c r="A229" s="21" t="s">
        <v>364</v>
      </c>
      <c r="B229" s="22" t="s">
        <v>56</v>
      </c>
      <c r="C229" s="22" t="s">
        <v>124</v>
      </c>
      <c r="D229" s="23">
        <v>6</v>
      </c>
      <c r="E229" s="24">
        <f>SUM($D$2:D229)/SUM($D$2:$D$2846)</f>
        <v>0.68003398470688192</v>
      </c>
      <c r="F229" s="22" t="s">
        <v>53</v>
      </c>
      <c r="G229" s="25" t="s">
        <v>125</v>
      </c>
    </row>
    <row r="230" spans="1:7">
      <c r="A230" s="21" t="s">
        <v>365</v>
      </c>
      <c r="B230" s="22" t="s">
        <v>56</v>
      </c>
      <c r="C230" s="22" t="s">
        <v>124</v>
      </c>
      <c r="D230" s="23">
        <v>6</v>
      </c>
      <c r="E230" s="24">
        <f>SUM($D$2:D230)/SUM($D$2:$D$2846)</f>
        <v>0.68054375531011047</v>
      </c>
      <c r="F230" s="22" t="s">
        <v>53</v>
      </c>
      <c r="G230" s="25" t="s">
        <v>125</v>
      </c>
    </row>
    <row r="231" spans="1:7">
      <c r="A231" s="21" t="s">
        <v>366</v>
      </c>
      <c r="B231" s="22" t="s">
        <v>56</v>
      </c>
      <c r="C231" s="22" t="s">
        <v>124</v>
      </c>
      <c r="D231" s="23">
        <v>5</v>
      </c>
      <c r="E231" s="24">
        <f>SUM($D$2:D231)/SUM($D$2:$D$2846)</f>
        <v>0.68096856414613427</v>
      </c>
      <c r="F231" s="22" t="s">
        <v>46</v>
      </c>
      <c r="G231" s="25" t="s">
        <v>125</v>
      </c>
    </row>
    <row r="232" spans="1:7">
      <c r="A232" s="21" t="s">
        <v>367</v>
      </c>
      <c r="B232" s="22" t="s">
        <v>56</v>
      </c>
      <c r="C232" s="22" t="s">
        <v>124</v>
      </c>
      <c r="D232" s="23">
        <v>5</v>
      </c>
      <c r="E232" s="24">
        <f>SUM($D$2:D232)/SUM($D$2:$D$2846)</f>
        <v>0.68139337298215807</v>
      </c>
      <c r="F232" s="22" t="s">
        <v>46</v>
      </c>
      <c r="G232" s="25" t="s">
        <v>125</v>
      </c>
    </row>
    <row r="233" spans="1:7">
      <c r="A233" s="21" t="s">
        <v>368</v>
      </c>
      <c r="B233" s="22" t="s">
        <v>56</v>
      </c>
      <c r="C233" s="22" t="s">
        <v>124</v>
      </c>
      <c r="D233" s="23">
        <v>5</v>
      </c>
      <c r="E233" s="24">
        <f>SUM($D$2:D233)/SUM($D$2:$D$2846)</f>
        <v>0.68181818181818177</v>
      </c>
      <c r="F233" s="22" t="s">
        <v>46</v>
      </c>
      <c r="G233" s="25" t="s">
        <v>125</v>
      </c>
    </row>
    <row r="234" spans="1:7">
      <c r="A234" s="21" t="s">
        <v>369</v>
      </c>
      <c r="B234" s="22" t="s">
        <v>56</v>
      </c>
      <c r="C234" s="22" t="s">
        <v>124</v>
      </c>
      <c r="D234" s="23">
        <v>5</v>
      </c>
      <c r="E234" s="24">
        <f>SUM($D$2:D234)/SUM($D$2:$D$2846)</f>
        <v>0.68224299065420557</v>
      </c>
      <c r="F234" s="22" t="s">
        <v>46</v>
      </c>
      <c r="G234" s="25" t="s">
        <v>125</v>
      </c>
    </row>
    <row r="235" spans="1:7">
      <c r="A235" s="21" t="s">
        <v>370</v>
      </c>
      <c r="B235" s="22" t="s">
        <v>56</v>
      </c>
      <c r="C235" s="22" t="s">
        <v>124</v>
      </c>
      <c r="D235" s="23">
        <v>5</v>
      </c>
      <c r="E235" s="24">
        <f>SUM($D$2:D235)/SUM($D$2:$D$2846)</f>
        <v>0.68266779949022938</v>
      </c>
      <c r="F235" s="22" t="s">
        <v>46</v>
      </c>
      <c r="G235" s="25" t="s">
        <v>125</v>
      </c>
    </row>
    <row r="236" spans="1:7">
      <c r="A236" s="21" t="s">
        <v>371</v>
      </c>
      <c r="B236" s="22" t="s">
        <v>56</v>
      </c>
      <c r="C236" s="22" t="s">
        <v>124</v>
      </c>
      <c r="D236" s="23">
        <v>5</v>
      </c>
      <c r="E236" s="24">
        <f>SUM($D$2:D236)/SUM($D$2:$D$2846)</f>
        <v>0.68309260832625318</v>
      </c>
      <c r="F236" s="22" t="s">
        <v>46</v>
      </c>
      <c r="G236" s="25" t="s">
        <v>125</v>
      </c>
    </row>
    <row r="237" spans="1:7">
      <c r="A237" s="21" t="s">
        <v>372</v>
      </c>
      <c r="B237" s="22" t="s">
        <v>56</v>
      </c>
      <c r="C237" s="22" t="s">
        <v>124</v>
      </c>
      <c r="D237" s="23">
        <v>5</v>
      </c>
      <c r="E237" s="24">
        <f>SUM($D$2:D237)/SUM($D$2:$D$2846)</f>
        <v>0.68351741716227699</v>
      </c>
      <c r="F237" s="22" t="s">
        <v>46</v>
      </c>
      <c r="G237" s="25" t="s">
        <v>125</v>
      </c>
    </row>
    <row r="238" spans="1:7">
      <c r="A238" s="21" t="s">
        <v>373</v>
      </c>
      <c r="B238" s="22" t="s">
        <v>56</v>
      </c>
      <c r="C238" s="22" t="s">
        <v>124</v>
      </c>
      <c r="D238" s="23">
        <v>5</v>
      </c>
      <c r="E238" s="24">
        <f>SUM($D$2:D238)/SUM($D$2:$D$2846)</f>
        <v>0.68394222599830079</v>
      </c>
      <c r="F238" s="22" t="s">
        <v>46</v>
      </c>
      <c r="G238" s="25" t="s">
        <v>125</v>
      </c>
    </row>
    <row r="239" spans="1:7">
      <c r="A239" s="21" t="s">
        <v>374</v>
      </c>
      <c r="B239" s="22" t="s">
        <v>56</v>
      </c>
      <c r="C239" s="22" t="s">
        <v>124</v>
      </c>
      <c r="D239" s="23">
        <v>5</v>
      </c>
      <c r="E239" s="24">
        <f>SUM($D$2:D239)/SUM($D$2:$D$2846)</f>
        <v>0.68436703483432459</v>
      </c>
      <c r="F239" s="22" t="s">
        <v>46</v>
      </c>
      <c r="G239" s="25" t="s">
        <v>125</v>
      </c>
    </row>
    <row r="240" spans="1:7">
      <c r="A240" s="21" t="s">
        <v>375</v>
      </c>
      <c r="B240" s="22" t="s">
        <v>56</v>
      </c>
      <c r="C240" s="22" t="s">
        <v>124</v>
      </c>
      <c r="D240" s="23">
        <v>5</v>
      </c>
      <c r="E240" s="24">
        <f>SUM($D$2:D240)/SUM($D$2:$D$2846)</f>
        <v>0.68479184367034829</v>
      </c>
      <c r="F240" s="22" t="s">
        <v>46</v>
      </c>
      <c r="G240" s="25" t="s">
        <v>125</v>
      </c>
    </row>
    <row r="241" spans="1:7">
      <c r="A241" s="21" t="s">
        <v>376</v>
      </c>
      <c r="B241" s="22" t="s">
        <v>56</v>
      </c>
      <c r="C241" s="22" t="s">
        <v>124</v>
      </c>
      <c r="D241" s="23">
        <v>5</v>
      </c>
      <c r="E241" s="24">
        <f>SUM($D$2:D241)/SUM($D$2:$D$2846)</f>
        <v>0.68521665250637209</v>
      </c>
      <c r="F241" s="22" t="s">
        <v>46</v>
      </c>
      <c r="G241" s="25" t="s">
        <v>125</v>
      </c>
    </row>
    <row r="242" spans="1:7">
      <c r="A242" s="21" t="s">
        <v>377</v>
      </c>
      <c r="B242" s="22" t="s">
        <v>56</v>
      </c>
      <c r="C242" s="22" t="s">
        <v>124</v>
      </c>
      <c r="D242" s="23">
        <v>5</v>
      </c>
      <c r="E242" s="24">
        <f>SUM($D$2:D242)/SUM($D$2:$D$2846)</f>
        <v>0.6856414613423959</v>
      </c>
      <c r="F242" s="22" t="s">
        <v>46</v>
      </c>
      <c r="G242" s="25" t="s">
        <v>125</v>
      </c>
    </row>
    <row r="243" spans="1:7">
      <c r="A243" s="21" t="s">
        <v>378</v>
      </c>
      <c r="B243" s="22" t="s">
        <v>56</v>
      </c>
      <c r="C243" s="22" t="s">
        <v>124</v>
      </c>
      <c r="D243" s="23">
        <v>5</v>
      </c>
      <c r="E243" s="24">
        <f>SUM($D$2:D243)/SUM($D$2:$D$2846)</f>
        <v>0.6860662701784197</v>
      </c>
      <c r="F243" s="22" t="s">
        <v>46</v>
      </c>
      <c r="G243" s="25" t="s">
        <v>125</v>
      </c>
    </row>
    <row r="244" spans="1:7">
      <c r="A244" s="21" t="s">
        <v>379</v>
      </c>
      <c r="B244" s="22" t="s">
        <v>56</v>
      </c>
      <c r="C244" s="22" t="s">
        <v>124</v>
      </c>
      <c r="D244" s="23">
        <v>5</v>
      </c>
      <c r="E244" s="24">
        <f>SUM($D$2:D244)/SUM($D$2:$D$2846)</f>
        <v>0.68649107901444351</v>
      </c>
      <c r="F244" s="22" t="s">
        <v>53</v>
      </c>
      <c r="G244" s="25" t="s">
        <v>125</v>
      </c>
    </row>
    <row r="245" spans="1:7">
      <c r="A245" s="21" t="s">
        <v>380</v>
      </c>
      <c r="B245" s="22" t="s">
        <v>56</v>
      </c>
      <c r="C245" s="22" t="s">
        <v>124</v>
      </c>
      <c r="D245" s="23">
        <v>5</v>
      </c>
      <c r="E245" s="24">
        <f>SUM($D$2:D245)/SUM($D$2:$D$2846)</f>
        <v>0.68691588785046731</v>
      </c>
      <c r="F245" s="22" t="s">
        <v>53</v>
      </c>
      <c r="G245" s="25" t="s">
        <v>125</v>
      </c>
    </row>
    <row r="246" spans="1:7">
      <c r="A246" s="21" t="s">
        <v>381</v>
      </c>
      <c r="B246" s="22" t="s">
        <v>56</v>
      </c>
      <c r="C246" s="22" t="s">
        <v>124</v>
      </c>
      <c r="D246" s="23">
        <v>5</v>
      </c>
      <c r="E246" s="24">
        <f>SUM($D$2:D246)/SUM($D$2:$D$2846)</f>
        <v>0.68734069668649111</v>
      </c>
      <c r="F246" s="22" t="s">
        <v>53</v>
      </c>
      <c r="G246" s="25" t="s">
        <v>125</v>
      </c>
    </row>
    <row r="247" spans="1:7">
      <c r="A247" s="21" t="s">
        <v>382</v>
      </c>
      <c r="B247" s="22" t="s">
        <v>56</v>
      </c>
      <c r="C247" s="22" t="s">
        <v>124</v>
      </c>
      <c r="D247" s="23">
        <v>5</v>
      </c>
      <c r="E247" s="24">
        <f>SUM($D$2:D247)/SUM($D$2:$D$2846)</f>
        <v>0.68776550552251492</v>
      </c>
      <c r="F247" s="22" t="s">
        <v>53</v>
      </c>
      <c r="G247" s="25" t="s">
        <v>125</v>
      </c>
    </row>
    <row r="248" spans="1:7">
      <c r="A248" s="21" t="s">
        <v>383</v>
      </c>
      <c r="B248" s="22" t="s">
        <v>56</v>
      </c>
      <c r="C248" s="22" t="s">
        <v>124</v>
      </c>
      <c r="D248" s="23">
        <v>5</v>
      </c>
      <c r="E248" s="24">
        <f>SUM($D$2:D248)/SUM($D$2:$D$2846)</f>
        <v>0.68819031435853861</v>
      </c>
      <c r="F248" s="22" t="s">
        <v>53</v>
      </c>
      <c r="G248" s="25" t="s">
        <v>125</v>
      </c>
    </row>
    <row r="249" spans="1:7">
      <c r="A249" s="21" t="s">
        <v>384</v>
      </c>
      <c r="B249" s="22" t="s">
        <v>56</v>
      </c>
      <c r="C249" s="22" t="s">
        <v>124</v>
      </c>
      <c r="D249" s="23">
        <v>5</v>
      </c>
      <c r="E249" s="24">
        <f>SUM($D$2:D249)/SUM($D$2:$D$2846)</f>
        <v>0.68861512319456242</v>
      </c>
      <c r="F249" s="22" t="s">
        <v>53</v>
      </c>
      <c r="G249" s="25" t="s">
        <v>125</v>
      </c>
    </row>
    <row r="250" spans="1:7">
      <c r="A250" s="21" t="s">
        <v>385</v>
      </c>
      <c r="B250" s="22" t="s">
        <v>56</v>
      </c>
      <c r="C250" s="22" t="s">
        <v>124</v>
      </c>
      <c r="D250" s="23">
        <v>5</v>
      </c>
      <c r="E250" s="24">
        <f>SUM($D$2:D250)/SUM($D$2:$D$2846)</f>
        <v>0.68903993203058622</v>
      </c>
      <c r="F250" s="22" t="s">
        <v>53</v>
      </c>
      <c r="G250" s="25" t="s">
        <v>125</v>
      </c>
    </row>
    <row r="251" spans="1:7">
      <c r="A251" s="21" t="s">
        <v>386</v>
      </c>
      <c r="B251" s="22" t="s">
        <v>56</v>
      </c>
      <c r="C251" s="22" t="s">
        <v>124</v>
      </c>
      <c r="D251" s="23">
        <v>5</v>
      </c>
      <c r="E251" s="24">
        <f>SUM($D$2:D251)/SUM($D$2:$D$2846)</f>
        <v>0.68946474086661003</v>
      </c>
      <c r="F251" s="22" t="s">
        <v>53</v>
      </c>
      <c r="G251" s="25" t="s">
        <v>125</v>
      </c>
    </row>
    <row r="252" spans="1:7">
      <c r="A252" s="21" t="s">
        <v>387</v>
      </c>
      <c r="B252" s="22" t="s">
        <v>56</v>
      </c>
      <c r="C252" s="22" t="s">
        <v>124</v>
      </c>
      <c r="D252" s="23">
        <v>5</v>
      </c>
      <c r="E252" s="24">
        <f>SUM($D$2:D252)/SUM($D$2:$D$2846)</f>
        <v>0.68988954970263383</v>
      </c>
      <c r="F252" s="22" t="s">
        <v>53</v>
      </c>
      <c r="G252" s="25" t="s">
        <v>125</v>
      </c>
    </row>
    <row r="253" spans="1:7">
      <c r="A253" s="21" t="s">
        <v>388</v>
      </c>
      <c r="B253" s="22" t="s">
        <v>56</v>
      </c>
      <c r="C253" s="22" t="s">
        <v>124</v>
      </c>
      <c r="D253" s="23">
        <v>5</v>
      </c>
      <c r="E253" s="24">
        <f>SUM($D$2:D253)/SUM($D$2:$D$2846)</f>
        <v>0.69031435853865764</v>
      </c>
      <c r="F253" s="22" t="s">
        <v>53</v>
      </c>
      <c r="G253" s="25" t="s">
        <v>125</v>
      </c>
    </row>
    <row r="254" spans="1:7">
      <c r="A254" s="21" t="s">
        <v>389</v>
      </c>
      <c r="B254" s="22" t="s">
        <v>56</v>
      </c>
      <c r="C254" s="22" t="s">
        <v>124</v>
      </c>
      <c r="D254" s="23">
        <v>5</v>
      </c>
      <c r="E254" s="24">
        <f>SUM($D$2:D254)/SUM($D$2:$D$2846)</f>
        <v>0.69073916737468144</v>
      </c>
      <c r="F254" s="22" t="s">
        <v>53</v>
      </c>
      <c r="G254" s="25" t="s">
        <v>125</v>
      </c>
    </row>
    <row r="255" spans="1:7">
      <c r="A255" s="21" t="s">
        <v>390</v>
      </c>
      <c r="B255" s="22" t="s">
        <v>56</v>
      </c>
      <c r="C255" s="22" t="s">
        <v>124</v>
      </c>
      <c r="D255" s="23">
        <v>5</v>
      </c>
      <c r="E255" s="24">
        <f>SUM($D$2:D255)/SUM($D$2:$D$2846)</f>
        <v>0.69116397621070513</v>
      </c>
      <c r="F255" s="22" t="s">
        <v>53</v>
      </c>
      <c r="G255" s="25" t="s">
        <v>125</v>
      </c>
    </row>
    <row r="256" spans="1:7">
      <c r="A256" s="21" t="s">
        <v>391</v>
      </c>
      <c r="B256" s="26" t="s">
        <v>163</v>
      </c>
      <c r="C256" s="22" t="s">
        <v>45</v>
      </c>
      <c r="D256" s="23">
        <v>5</v>
      </c>
      <c r="E256" s="24">
        <f>SUM($D$2:D256)/SUM($D$2:$D$2846)</f>
        <v>0.69158878504672894</v>
      </c>
      <c r="F256" s="22" t="s">
        <v>53</v>
      </c>
      <c r="G256" s="25" t="s">
        <v>164</v>
      </c>
    </row>
    <row r="257" spans="1:7">
      <c r="A257" s="21" t="s">
        <v>392</v>
      </c>
      <c r="B257" s="22" t="s">
        <v>56</v>
      </c>
      <c r="C257" s="22" t="s">
        <v>124</v>
      </c>
      <c r="D257" s="23">
        <v>5</v>
      </c>
      <c r="E257" s="24">
        <f>SUM($D$2:D257)/SUM($D$2:$D$2846)</f>
        <v>0.69201359388275274</v>
      </c>
      <c r="F257" s="22" t="s">
        <v>53</v>
      </c>
      <c r="G257" s="25" t="s">
        <v>125</v>
      </c>
    </row>
    <row r="258" spans="1:7">
      <c r="A258" s="21" t="s">
        <v>393</v>
      </c>
      <c r="B258" s="22" t="s">
        <v>56</v>
      </c>
      <c r="C258" s="22" t="s">
        <v>124</v>
      </c>
      <c r="D258" s="23">
        <v>5</v>
      </c>
      <c r="E258" s="24">
        <f>SUM($D$2:D258)/SUM($D$2:$D$2846)</f>
        <v>0.69243840271877655</v>
      </c>
      <c r="F258" s="22" t="s">
        <v>53</v>
      </c>
      <c r="G258" s="25" t="s">
        <v>125</v>
      </c>
    </row>
    <row r="259" spans="1:7">
      <c r="A259" s="21" t="s">
        <v>394</v>
      </c>
      <c r="B259" s="22" t="s">
        <v>56</v>
      </c>
      <c r="C259" s="22" t="s">
        <v>124</v>
      </c>
      <c r="D259" s="23">
        <v>5</v>
      </c>
      <c r="E259" s="24">
        <f>SUM($D$2:D259)/SUM($D$2:$D$2846)</f>
        <v>0.69286321155480035</v>
      </c>
      <c r="F259" s="22" t="s">
        <v>53</v>
      </c>
      <c r="G259" s="25" t="s">
        <v>125</v>
      </c>
    </row>
    <row r="260" spans="1:7">
      <c r="A260" s="21" t="s">
        <v>395</v>
      </c>
      <c r="B260" s="22" t="s">
        <v>56</v>
      </c>
      <c r="C260" s="22" t="s">
        <v>124</v>
      </c>
      <c r="D260" s="23">
        <v>5</v>
      </c>
      <c r="E260" s="24">
        <f>SUM($D$2:D260)/SUM($D$2:$D$2846)</f>
        <v>0.69328802039082416</v>
      </c>
      <c r="F260" s="22" t="s">
        <v>53</v>
      </c>
      <c r="G260" s="25" t="s">
        <v>125</v>
      </c>
    </row>
    <row r="261" spans="1:7">
      <c r="A261" s="21" t="s">
        <v>396</v>
      </c>
      <c r="B261" s="22" t="s">
        <v>56</v>
      </c>
      <c r="C261" s="22" t="s">
        <v>124</v>
      </c>
      <c r="D261" s="23">
        <v>5</v>
      </c>
      <c r="E261" s="24">
        <f>SUM($D$2:D261)/SUM($D$2:$D$2846)</f>
        <v>0.69371282922684796</v>
      </c>
      <c r="F261" s="22" t="s">
        <v>53</v>
      </c>
      <c r="G261" s="25" t="s">
        <v>125</v>
      </c>
    </row>
    <row r="262" spans="1:7">
      <c r="A262" s="21" t="s">
        <v>397</v>
      </c>
      <c r="B262" s="22" t="s">
        <v>129</v>
      </c>
      <c r="C262" s="22" t="s">
        <v>124</v>
      </c>
      <c r="D262" s="23">
        <v>5</v>
      </c>
      <c r="E262" s="24">
        <f>SUM($D$2:D262)/SUM($D$2:$D$2846)</f>
        <v>0.69413763806287165</v>
      </c>
      <c r="F262" s="22" t="s">
        <v>53</v>
      </c>
      <c r="G262" s="25" t="s">
        <v>130</v>
      </c>
    </row>
    <row r="263" spans="1:7">
      <c r="A263" s="21" t="s">
        <v>398</v>
      </c>
      <c r="B263" s="22" t="s">
        <v>129</v>
      </c>
      <c r="C263" s="22" t="s">
        <v>124</v>
      </c>
      <c r="D263" s="23">
        <v>5</v>
      </c>
      <c r="E263" s="24">
        <f>SUM($D$2:D263)/SUM($D$2:$D$2846)</f>
        <v>0.69456244689889546</v>
      </c>
      <c r="F263" s="22" t="s">
        <v>53</v>
      </c>
      <c r="G263" s="25" t="s">
        <v>130</v>
      </c>
    </row>
    <row r="264" spans="1:7">
      <c r="A264" s="21" t="s">
        <v>399</v>
      </c>
      <c r="B264" s="22" t="s">
        <v>56</v>
      </c>
      <c r="C264" s="22" t="s">
        <v>124</v>
      </c>
      <c r="D264" s="23">
        <v>5</v>
      </c>
      <c r="E264" s="24">
        <f>SUM($D$2:D264)/SUM($D$2:$D$2846)</f>
        <v>0.69498725573491926</v>
      </c>
      <c r="F264" s="22" t="s">
        <v>53</v>
      </c>
      <c r="G264" s="25" t="s">
        <v>125</v>
      </c>
    </row>
    <row r="265" spans="1:7">
      <c r="A265" s="21" t="s">
        <v>400</v>
      </c>
      <c r="B265" s="22" t="s">
        <v>56</v>
      </c>
      <c r="C265" s="22" t="s">
        <v>124</v>
      </c>
      <c r="D265" s="23">
        <v>5</v>
      </c>
      <c r="E265" s="24">
        <f>SUM($D$2:D265)/SUM($D$2:$D$2846)</f>
        <v>0.69541206457094307</v>
      </c>
      <c r="F265" s="22" t="s">
        <v>53</v>
      </c>
      <c r="G265" s="25" t="s">
        <v>125</v>
      </c>
    </row>
    <row r="266" spans="1:7">
      <c r="A266" s="21" t="s">
        <v>401</v>
      </c>
      <c r="B266" s="22" t="s">
        <v>56</v>
      </c>
      <c r="C266" s="22" t="s">
        <v>124</v>
      </c>
      <c r="D266" s="23">
        <v>5</v>
      </c>
      <c r="E266" s="24">
        <f>SUM($D$2:D266)/SUM($D$2:$D$2846)</f>
        <v>0.69583687340696687</v>
      </c>
      <c r="F266" s="22" t="s">
        <v>53</v>
      </c>
      <c r="G266" s="25" t="s">
        <v>125</v>
      </c>
    </row>
    <row r="267" spans="1:7">
      <c r="A267" s="21" t="s">
        <v>402</v>
      </c>
      <c r="B267" s="22" t="s">
        <v>56</v>
      </c>
      <c r="C267" s="22" t="s">
        <v>124</v>
      </c>
      <c r="D267" s="23">
        <v>5</v>
      </c>
      <c r="E267" s="24">
        <f>SUM($D$2:D267)/SUM($D$2:$D$2846)</f>
        <v>0.69626168224299068</v>
      </c>
      <c r="F267" s="22" t="s">
        <v>53</v>
      </c>
      <c r="G267" s="25" t="s">
        <v>125</v>
      </c>
    </row>
    <row r="268" spans="1:7">
      <c r="A268" s="21" t="s">
        <v>403</v>
      </c>
      <c r="B268" s="22" t="s">
        <v>56</v>
      </c>
      <c r="C268" s="22" t="s">
        <v>124</v>
      </c>
      <c r="D268" s="23">
        <v>5</v>
      </c>
      <c r="E268" s="24">
        <f>SUM($D$2:D268)/SUM($D$2:$D$2846)</f>
        <v>0.69668649107901448</v>
      </c>
      <c r="F268" s="22" t="s">
        <v>53</v>
      </c>
      <c r="G268" s="25" t="s">
        <v>125</v>
      </c>
    </row>
    <row r="269" spans="1:7">
      <c r="A269" s="21" t="s">
        <v>404</v>
      </c>
      <c r="B269" s="22" t="s">
        <v>56</v>
      </c>
      <c r="C269" s="22" t="s">
        <v>124</v>
      </c>
      <c r="D269" s="23">
        <v>5</v>
      </c>
      <c r="E269" s="24">
        <f>SUM($D$2:D269)/SUM($D$2:$D$2846)</f>
        <v>0.69711129991503828</v>
      </c>
      <c r="F269" s="22" t="s">
        <v>53</v>
      </c>
      <c r="G269" s="25" t="s">
        <v>125</v>
      </c>
    </row>
    <row r="270" spans="1:7">
      <c r="A270" s="21" t="s">
        <v>405</v>
      </c>
      <c r="B270" s="22" t="s">
        <v>56</v>
      </c>
      <c r="C270" s="22" t="s">
        <v>124</v>
      </c>
      <c r="D270" s="23">
        <v>5</v>
      </c>
      <c r="E270" s="24">
        <f>SUM($D$2:D270)/SUM($D$2:$D$2846)</f>
        <v>0.69753610875106198</v>
      </c>
      <c r="F270" s="22" t="s">
        <v>53</v>
      </c>
      <c r="G270" s="25" t="s">
        <v>125</v>
      </c>
    </row>
    <row r="271" spans="1:7">
      <c r="A271" s="21" t="s">
        <v>406</v>
      </c>
      <c r="B271" s="22" t="s">
        <v>56</v>
      </c>
      <c r="C271" s="22" t="s">
        <v>124</v>
      </c>
      <c r="D271" s="23">
        <v>5</v>
      </c>
      <c r="E271" s="24">
        <f>SUM($D$2:D271)/SUM($D$2:$D$2846)</f>
        <v>0.69796091758708578</v>
      </c>
      <c r="F271" s="22" t="s">
        <v>53</v>
      </c>
      <c r="G271" s="25" t="s">
        <v>125</v>
      </c>
    </row>
    <row r="272" spans="1:7">
      <c r="A272" s="21" t="s">
        <v>407</v>
      </c>
      <c r="B272" s="22" t="s">
        <v>56</v>
      </c>
      <c r="C272" s="22" t="s">
        <v>124</v>
      </c>
      <c r="D272" s="23">
        <v>5</v>
      </c>
      <c r="E272" s="24">
        <f>SUM($D$2:D272)/SUM($D$2:$D$2846)</f>
        <v>0.69838572642310959</v>
      </c>
      <c r="F272" s="22" t="s">
        <v>53</v>
      </c>
      <c r="G272" s="25" t="s">
        <v>125</v>
      </c>
    </row>
    <row r="273" spans="1:7">
      <c r="A273" s="21" t="s">
        <v>408</v>
      </c>
      <c r="B273" s="22" t="s">
        <v>56</v>
      </c>
      <c r="C273" s="22" t="s">
        <v>124</v>
      </c>
      <c r="D273" s="23">
        <v>5</v>
      </c>
      <c r="E273" s="24">
        <f>SUM($D$2:D273)/SUM($D$2:$D$2846)</f>
        <v>0.69881053525913339</v>
      </c>
      <c r="F273" s="22" t="s">
        <v>53</v>
      </c>
      <c r="G273" s="25" t="s">
        <v>125</v>
      </c>
    </row>
    <row r="274" spans="1:7">
      <c r="A274" s="21" t="s">
        <v>409</v>
      </c>
      <c r="B274" s="22" t="s">
        <v>56</v>
      </c>
      <c r="C274" s="22" t="s">
        <v>124</v>
      </c>
      <c r="D274" s="23">
        <v>5</v>
      </c>
      <c r="E274" s="24">
        <f>SUM($D$2:D274)/SUM($D$2:$D$2846)</f>
        <v>0.6992353440951572</v>
      </c>
      <c r="F274" s="22" t="s">
        <v>53</v>
      </c>
      <c r="G274" s="25" t="s">
        <v>125</v>
      </c>
    </row>
    <row r="275" spans="1:7">
      <c r="A275" s="21" t="s">
        <v>410</v>
      </c>
      <c r="B275" s="22" t="s">
        <v>56</v>
      </c>
      <c r="C275" s="22" t="s">
        <v>124</v>
      </c>
      <c r="D275" s="23">
        <v>4</v>
      </c>
      <c r="E275" s="24">
        <f>SUM($D$2:D275)/SUM($D$2:$D$2846)</f>
        <v>0.69957519116397626</v>
      </c>
      <c r="F275" s="22" t="s">
        <v>46</v>
      </c>
      <c r="G275" s="25" t="s">
        <v>125</v>
      </c>
    </row>
    <row r="276" spans="1:7">
      <c r="A276" s="21" t="s">
        <v>411</v>
      </c>
      <c r="B276" s="22" t="s">
        <v>56</v>
      </c>
      <c r="C276" s="22" t="s">
        <v>124</v>
      </c>
      <c r="D276" s="23">
        <v>4</v>
      </c>
      <c r="E276" s="24">
        <f>SUM($D$2:D276)/SUM($D$2:$D$2846)</f>
        <v>0.69991503823279522</v>
      </c>
      <c r="F276" s="22" t="s">
        <v>46</v>
      </c>
      <c r="G276" s="25" t="s">
        <v>125</v>
      </c>
    </row>
    <row r="277" spans="1:7">
      <c r="A277" s="21" t="s">
        <v>412</v>
      </c>
      <c r="B277" s="22" t="s">
        <v>56</v>
      </c>
      <c r="C277" s="22" t="s">
        <v>124</v>
      </c>
      <c r="D277" s="23">
        <v>4</v>
      </c>
      <c r="E277" s="24">
        <f>SUM($D$2:D277)/SUM($D$2:$D$2846)</f>
        <v>0.70025488530161428</v>
      </c>
      <c r="F277" s="22" t="s">
        <v>46</v>
      </c>
      <c r="G277" s="25" t="s">
        <v>125</v>
      </c>
    </row>
    <row r="278" spans="1:7">
      <c r="A278" s="21" t="s">
        <v>413</v>
      </c>
      <c r="B278" s="22" t="s">
        <v>56</v>
      </c>
      <c r="C278" s="22" t="s">
        <v>124</v>
      </c>
      <c r="D278" s="23">
        <v>4</v>
      </c>
      <c r="E278" s="24">
        <f>SUM($D$2:D278)/SUM($D$2:$D$2846)</f>
        <v>0.70059473237043335</v>
      </c>
      <c r="F278" s="22" t="s">
        <v>46</v>
      </c>
      <c r="G278" s="25" t="s">
        <v>125</v>
      </c>
    </row>
    <row r="279" spans="1:7">
      <c r="A279" s="21" t="s">
        <v>414</v>
      </c>
      <c r="B279" s="22" t="s">
        <v>56</v>
      </c>
      <c r="C279" s="22" t="s">
        <v>124</v>
      </c>
      <c r="D279" s="23">
        <v>4</v>
      </c>
      <c r="E279" s="24">
        <f>SUM($D$2:D279)/SUM($D$2:$D$2846)</f>
        <v>0.7009345794392523</v>
      </c>
      <c r="F279" s="22" t="s">
        <v>46</v>
      </c>
      <c r="G279" s="25" t="s">
        <v>125</v>
      </c>
    </row>
    <row r="280" spans="1:7">
      <c r="A280" s="21" t="s">
        <v>51</v>
      </c>
      <c r="B280" s="26" t="s">
        <v>44</v>
      </c>
      <c r="C280" s="22" t="s">
        <v>45</v>
      </c>
      <c r="D280" s="23">
        <v>4</v>
      </c>
      <c r="E280" s="24">
        <f>SUM($D$2:D280)/SUM($D$2:$D$2846)</f>
        <v>0.70127442650807137</v>
      </c>
      <c r="F280" s="22" t="s">
        <v>46</v>
      </c>
      <c r="G280" s="25" t="s">
        <v>47</v>
      </c>
    </row>
    <row r="281" spans="1:7">
      <c r="A281" s="21" t="s">
        <v>415</v>
      </c>
      <c r="B281" s="22" t="s">
        <v>44</v>
      </c>
      <c r="C281" s="22" t="s">
        <v>124</v>
      </c>
      <c r="D281" s="23">
        <v>4</v>
      </c>
      <c r="E281" s="24">
        <f>SUM($D$2:D281)/SUM($D$2:$D$2846)</f>
        <v>0.70161427357689043</v>
      </c>
      <c r="F281" s="22" t="s">
        <v>46</v>
      </c>
      <c r="G281" s="25" t="s">
        <v>332</v>
      </c>
    </row>
    <row r="282" spans="1:7">
      <c r="A282" s="21" t="s">
        <v>416</v>
      </c>
      <c r="B282" s="22" t="s">
        <v>56</v>
      </c>
      <c r="C282" s="22" t="s">
        <v>124</v>
      </c>
      <c r="D282" s="23">
        <v>4</v>
      </c>
      <c r="E282" s="24">
        <f>SUM($D$2:D282)/SUM($D$2:$D$2846)</f>
        <v>0.70195412064570939</v>
      </c>
      <c r="F282" s="22" t="s">
        <v>46</v>
      </c>
      <c r="G282" s="25" t="s">
        <v>125</v>
      </c>
    </row>
    <row r="283" spans="1:7">
      <c r="A283" s="21" t="s">
        <v>417</v>
      </c>
      <c r="B283" s="22" t="s">
        <v>56</v>
      </c>
      <c r="C283" s="22" t="s">
        <v>124</v>
      </c>
      <c r="D283" s="23">
        <v>4</v>
      </c>
      <c r="E283" s="24">
        <f>SUM($D$2:D283)/SUM($D$2:$D$2846)</f>
        <v>0.70229396771452846</v>
      </c>
      <c r="F283" s="22" t="s">
        <v>46</v>
      </c>
      <c r="G283" s="25" t="s">
        <v>125</v>
      </c>
    </row>
    <row r="284" spans="1:7">
      <c r="A284" s="21" t="s">
        <v>418</v>
      </c>
      <c r="B284" s="22" t="s">
        <v>56</v>
      </c>
      <c r="C284" s="22" t="s">
        <v>124</v>
      </c>
      <c r="D284" s="23">
        <v>4</v>
      </c>
      <c r="E284" s="24">
        <f>SUM($D$2:D284)/SUM($D$2:$D$2846)</f>
        <v>0.70263381478334752</v>
      </c>
      <c r="F284" s="22" t="s">
        <v>46</v>
      </c>
      <c r="G284" s="25" t="s">
        <v>125</v>
      </c>
    </row>
    <row r="285" spans="1:7">
      <c r="A285" s="21" t="s">
        <v>419</v>
      </c>
      <c r="B285" s="22" t="s">
        <v>56</v>
      </c>
      <c r="C285" s="22" t="s">
        <v>124</v>
      </c>
      <c r="D285" s="23">
        <v>4</v>
      </c>
      <c r="E285" s="24">
        <f>SUM($D$2:D285)/SUM($D$2:$D$2846)</f>
        <v>0.70297366185216648</v>
      </c>
      <c r="F285" s="22" t="s">
        <v>46</v>
      </c>
      <c r="G285" s="25" t="s">
        <v>125</v>
      </c>
    </row>
    <row r="286" spans="1:7">
      <c r="A286" s="21" t="s">
        <v>420</v>
      </c>
      <c r="B286" s="22" t="s">
        <v>56</v>
      </c>
      <c r="C286" s="22" t="s">
        <v>124</v>
      </c>
      <c r="D286" s="23">
        <v>4</v>
      </c>
      <c r="E286" s="24">
        <f>SUM($D$2:D286)/SUM($D$2:$D$2846)</f>
        <v>0.70331350892098554</v>
      </c>
      <c r="F286" s="22" t="s">
        <v>46</v>
      </c>
      <c r="G286" s="25" t="s">
        <v>125</v>
      </c>
    </row>
    <row r="287" spans="1:7">
      <c r="A287" s="21" t="s">
        <v>421</v>
      </c>
      <c r="B287" s="22" t="s">
        <v>56</v>
      </c>
      <c r="C287" s="22" t="s">
        <v>124</v>
      </c>
      <c r="D287" s="23">
        <v>4</v>
      </c>
      <c r="E287" s="24">
        <f>SUM($D$2:D287)/SUM($D$2:$D$2846)</f>
        <v>0.70365335598980461</v>
      </c>
      <c r="F287" s="22" t="s">
        <v>46</v>
      </c>
      <c r="G287" s="25" t="s">
        <v>125</v>
      </c>
    </row>
    <row r="288" spans="1:7">
      <c r="A288" s="21" t="s">
        <v>422</v>
      </c>
      <c r="B288" s="22" t="s">
        <v>44</v>
      </c>
      <c r="C288" s="22" t="s">
        <v>124</v>
      </c>
      <c r="D288" s="23">
        <v>4</v>
      </c>
      <c r="E288" s="24">
        <f>SUM($D$2:D288)/SUM($D$2:$D$2846)</f>
        <v>0.70399320305862367</v>
      </c>
      <c r="F288" s="22" t="s">
        <v>46</v>
      </c>
      <c r="G288" s="25" t="s">
        <v>423</v>
      </c>
    </row>
    <row r="289" spans="1:7">
      <c r="A289" s="21" t="s">
        <v>424</v>
      </c>
      <c r="B289" s="22" t="s">
        <v>56</v>
      </c>
      <c r="C289" s="22" t="s">
        <v>124</v>
      </c>
      <c r="D289" s="23">
        <v>4</v>
      </c>
      <c r="E289" s="24">
        <f>SUM($D$2:D289)/SUM($D$2:$D$2846)</f>
        <v>0.70433305012744263</v>
      </c>
      <c r="F289" s="22" t="s">
        <v>46</v>
      </c>
      <c r="G289" s="25" t="s">
        <v>125</v>
      </c>
    </row>
    <row r="290" spans="1:7">
      <c r="A290" s="21" t="s">
        <v>425</v>
      </c>
      <c r="B290" s="26" t="s">
        <v>163</v>
      </c>
      <c r="C290" s="22" t="s">
        <v>45</v>
      </c>
      <c r="D290" s="23">
        <v>4</v>
      </c>
      <c r="E290" s="24">
        <f>SUM($D$2:D290)/SUM($D$2:$D$2846)</f>
        <v>0.70467289719626169</v>
      </c>
      <c r="F290" s="22" t="s">
        <v>46</v>
      </c>
      <c r="G290" s="25" t="s">
        <v>164</v>
      </c>
    </row>
    <row r="291" spans="1:7">
      <c r="A291" s="21" t="s">
        <v>426</v>
      </c>
      <c r="B291" s="26" t="s">
        <v>163</v>
      </c>
      <c r="C291" s="22" t="s">
        <v>45</v>
      </c>
      <c r="D291" s="23">
        <v>4</v>
      </c>
      <c r="E291" s="24">
        <f>SUM($D$2:D291)/SUM($D$2:$D$2846)</f>
        <v>0.70501274426508076</v>
      </c>
      <c r="F291" s="22" t="s">
        <v>46</v>
      </c>
      <c r="G291" s="25" t="s">
        <v>164</v>
      </c>
    </row>
    <row r="292" spans="1:7">
      <c r="A292" s="21" t="s">
        <v>427</v>
      </c>
      <c r="B292" s="22" t="s">
        <v>56</v>
      </c>
      <c r="C292" s="22" t="s">
        <v>124</v>
      </c>
      <c r="D292" s="23">
        <v>4</v>
      </c>
      <c r="E292" s="24">
        <f>SUM($D$2:D292)/SUM($D$2:$D$2846)</f>
        <v>0.70535259133389971</v>
      </c>
      <c r="F292" s="22" t="s">
        <v>46</v>
      </c>
      <c r="G292" s="25" t="s">
        <v>125</v>
      </c>
    </row>
    <row r="293" spans="1:7">
      <c r="A293" s="21" t="s">
        <v>428</v>
      </c>
      <c r="B293" s="22" t="s">
        <v>56</v>
      </c>
      <c r="C293" s="22" t="s">
        <v>124</v>
      </c>
      <c r="D293" s="23">
        <v>4</v>
      </c>
      <c r="E293" s="24">
        <f>SUM($D$2:D293)/SUM($D$2:$D$2846)</f>
        <v>0.70569243840271878</v>
      </c>
      <c r="F293" s="22" t="s">
        <v>46</v>
      </c>
      <c r="G293" s="25" t="s">
        <v>125</v>
      </c>
    </row>
    <row r="294" spans="1:7">
      <c r="A294" s="21" t="s">
        <v>429</v>
      </c>
      <c r="B294" s="22" t="s">
        <v>56</v>
      </c>
      <c r="C294" s="22" t="s">
        <v>124</v>
      </c>
      <c r="D294" s="23">
        <v>4</v>
      </c>
      <c r="E294" s="24">
        <f>SUM($D$2:D294)/SUM($D$2:$D$2846)</f>
        <v>0.70603228547153785</v>
      </c>
      <c r="F294" s="22" t="s">
        <v>46</v>
      </c>
      <c r="G294" s="25" t="s">
        <v>125</v>
      </c>
    </row>
    <row r="295" spans="1:7">
      <c r="A295" s="21" t="s">
        <v>430</v>
      </c>
      <c r="B295" s="26" t="s">
        <v>163</v>
      </c>
      <c r="C295" s="22" t="s">
        <v>45</v>
      </c>
      <c r="D295" s="23">
        <v>4</v>
      </c>
      <c r="E295" s="24">
        <f>SUM($D$2:D295)/SUM($D$2:$D$2846)</f>
        <v>0.7063721325403568</v>
      </c>
      <c r="F295" s="22" t="s">
        <v>46</v>
      </c>
      <c r="G295" s="25" t="s">
        <v>164</v>
      </c>
    </row>
    <row r="296" spans="1:7">
      <c r="A296" s="21" t="s">
        <v>431</v>
      </c>
      <c r="B296" s="22" t="s">
        <v>56</v>
      </c>
      <c r="C296" s="22" t="s">
        <v>124</v>
      </c>
      <c r="D296" s="23">
        <v>4</v>
      </c>
      <c r="E296" s="24">
        <f>SUM($D$2:D296)/SUM($D$2:$D$2846)</f>
        <v>0.70671197960917587</v>
      </c>
      <c r="F296" s="22" t="s">
        <v>46</v>
      </c>
      <c r="G296" s="25" t="s">
        <v>125</v>
      </c>
    </row>
    <row r="297" spans="1:7">
      <c r="A297" s="21" t="s">
        <v>432</v>
      </c>
      <c r="B297" s="22" t="s">
        <v>56</v>
      </c>
      <c r="C297" s="22" t="s">
        <v>124</v>
      </c>
      <c r="D297" s="23">
        <v>4</v>
      </c>
      <c r="E297" s="24">
        <f>SUM($D$2:D297)/SUM($D$2:$D$2846)</f>
        <v>0.70705182667799493</v>
      </c>
      <c r="F297" s="22" t="s">
        <v>46</v>
      </c>
      <c r="G297" s="25" t="s">
        <v>125</v>
      </c>
    </row>
    <row r="298" spans="1:7">
      <c r="A298" s="21" t="s">
        <v>433</v>
      </c>
      <c r="B298" s="22" t="s">
        <v>56</v>
      </c>
      <c r="C298" s="22" t="s">
        <v>124</v>
      </c>
      <c r="D298" s="23">
        <v>4</v>
      </c>
      <c r="E298" s="24">
        <f>SUM($D$2:D298)/SUM($D$2:$D$2846)</f>
        <v>0.70739167374681389</v>
      </c>
      <c r="F298" s="22" t="s">
        <v>46</v>
      </c>
      <c r="G298" s="25" t="s">
        <v>125</v>
      </c>
    </row>
    <row r="299" spans="1:7">
      <c r="A299" s="21" t="s">
        <v>434</v>
      </c>
      <c r="B299" s="22" t="s">
        <v>56</v>
      </c>
      <c r="C299" s="22" t="s">
        <v>124</v>
      </c>
      <c r="D299" s="23">
        <v>4</v>
      </c>
      <c r="E299" s="24">
        <f>SUM($D$2:D299)/SUM($D$2:$D$2846)</f>
        <v>0.70773152081563295</v>
      </c>
      <c r="F299" s="22" t="s">
        <v>46</v>
      </c>
      <c r="G299" s="25" t="s">
        <v>125</v>
      </c>
    </row>
    <row r="300" spans="1:7">
      <c r="A300" s="21" t="s">
        <v>435</v>
      </c>
      <c r="B300" s="22" t="s">
        <v>56</v>
      </c>
      <c r="C300" s="22" t="s">
        <v>124</v>
      </c>
      <c r="D300" s="23">
        <v>4</v>
      </c>
      <c r="E300" s="24">
        <f>SUM($D$2:D300)/SUM($D$2:$D$2846)</f>
        <v>0.70807136788445202</v>
      </c>
      <c r="F300" s="22" t="s">
        <v>46</v>
      </c>
      <c r="G300" s="25" t="s">
        <v>125</v>
      </c>
    </row>
    <row r="301" spans="1:7">
      <c r="A301" s="21" t="s">
        <v>436</v>
      </c>
      <c r="B301" s="22" t="s">
        <v>56</v>
      </c>
      <c r="C301" s="22" t="s">
        <v>124</v>
      </c>
      <c r="D301" s="23">
        <v>4</v>
      </c>
      <c r="E301" s="24">
        <f>SUM($D$2:D301)/SUM($D$2:$D$2846)</f>
        <v>0.70841121495327097</v>
      </c>
      <c r="F301" s="22" t="s">
        <v>46</v>
      </c>
      <c r="G301" s="25" t="s">
        <v>125</v>
      </c>
    </row>
    <row r="302" spans="1:7">
      <c r="A302" s="21" t="s">
        <v>437</v>
      </c>
      <c r="B302" s="22" t="s">
        <v>56</v>
      </c>
      <c r="C302" s="22" t="s">
        <v>124</v>
      </c>
      <c r="D302" s="23">
        <v>4</v>
      </c>
      <c r="E302" s="24">
        <f>SUM($D$2:D302)/SUM($D$2:$D$2846)</f>
        <v>0.70875106202209004</v>
      </c>
      <c r="F302" s="22" t="s">
        <v>46</v>
      </c>
      <c r="G302" s="25" t="s">
        <v>125</v>
      </c>
    </row>
    <row r="303" spans="1:7">
      <c r="A303" s="21" t="s">
        <v>438</v>
      </c>
      <c r="B303" s="22" t="s">
        <v>56</v>
      </c>
      <c r="C303" s="22" t="s">
        <v>124</v>
      </c>
      <c r="D303" s="23">
        <v>4</v>
      </c>
      <c r="E303" s="24">
        <f>SUM($D$2:D303)/SUM($D$2:$D$2846)</f>
        <v>0.70909090909090911</v>
      </c>
      <c r="F303" s="22" t="s">
        <v>46</v>
      </c>
      <c r="G303" s="25" t="s">
        <v>125</v>
      </c>
    </row>
    <row r="304" spans="1:7">
      <c r="A304" s="21" t="s">
        <v>439</v>
      </c>
      <c r="B304" s="22" t="s">
        <v>56</v>
      </c>
      <c r="C304" s="22" t="s">
        <v>124</v>
      </c>
      <c r="D304" s="23">
        <v>4</v>
      </c>
      <c r="E304" s="24">
        <f>SUM($D$2:D304)/SUM($D$2:$D$2846)</f>
        <v>0.70943075615972817</v>
      </c>
      <c r="F304" s="22" t="s">
        <v>46</v>
      </c>
      <c r="G304" s="25" t="s">
        <v>125</v>
      </c>
    </row>
    <row r="305" spans="1:7">
      <c r="A305" s="21" t="s">
        <v>440</v>
      </c>
      <c r="B305" s="22" t="s">
        <v>56</v>
      </c>
      <c r="C305" s="22" t="s">
        <v>124</v>
      </c>
      <c r="D305" s="23">
        <v>4</v>
      </c>
      <c r="E305" s="24">
        <f>SUM($D$2:D305)/SUM($D$2:$D$2846)</f>
        <v>0.70977060322854713</v>
      </c>
      <c r="F305" s="22" t="s">
        <v>46</v>
      </c>
      <c r="G305" s="25" t="s">
        <v>125</v>
      </c>
    </row>
    <row r="306" spans="1:7">
      <c r="A306" s="21" t="s">
        <v>441</v>
      </c>
      <c r="B306" s="22" t="s">
        <v>129</v>
      </c>
      <c r="C306" s="22" t="s">
        <v>124</v>
      </c>
      <c r="D306" s="23">
        <v>4</v>
      </c>
      <c r="E306" s="24">
        <f>SUM($D$2:D306)/SUM($D$2:$D$2846)</f>
        <v>0.71011045029736619</v>
      </c>
      <c r="F306" s="22" t="s">
        <v>46</v>
      </c>
      <c r="G306" s="25" t="s">
        <v>130</v>
      </c>
    </row>
    <row r="307" spans="1:7">
      <c r="A307" s="21" t="s">
        <v>442</v>
      </c>
      <c r="B307" s="22" t="s">
        <v>56</v>
      </c>
      <c r="C307" s="22" t="s">
        <v>124</v>
      </c>
      <c r="D307" s="23">
        <v>4</v>
      </c>
      <c r="E307" s="24">
        <f>SUM($D$2:D307)/SUM($D$2:$D$2846)</f>
        <v>0.71045029736618526</v>
      </c>
      <c r="F307" s="22" t="s">
        <v>46</v>
      </c>
      <c r="G307" s="25" t="s">
        <v>125</v>
      </c>
    </row>
    <row r="308" spans="1:7">
      <c r="A308" s="21" t="s">
        <v>443</v>
      </c>
      <c r="B308" s="22" t="s">
        <v>56</v>
      </c>
      <c r="C308" s="22" t="s">
        <v>124</v>
      </c>
      <c r="D308" s="23">
        <v>4</v>
      </c>
      <c r="E308" s="24">
        <f>SUM($D$2:D308)/SUM($D$2:$D$2846)</f>
        <v>0.71079014443500421</v>
      </c>
      <c r="F308" s="22" t="s">
        <v>46</v>
      </c>
      <c r="G308" s="25" t="s">
        <v>125</v>
      </c>
    </row>
    <row r="309" spans="1:7">
      <c r="A309" s="21" t="s">
        <v>444</v>
      </c>
      <c r="B309" s="22" t="s">
        <v>56</v>
      </c>
      <c r="C309" s="22" t="s">
        <v>124</v>
      </c>
      <c r="D309" s="23">
        <v>4</v>
      </c>
      <c r="E309" s="24">
        <f>SUM($D$2:D309)/SUM($D$2:$D$2846)</f>
        <v>0.71112999150382328</v>
      </c>
      <c r="F309" s="22" t="s">
        <v>46</v>
      </c>
      <c r="G309" s="25" t="s">
        <v>125</v>
      </c>
    </row>
    <row r="310" spans="1:7">
      <c r="A310" s="21" t="s">
        <v>445</v>
      </c>
      <c r="B310" s="22" t="s">
        <v>56</v>
      </c>
      <c r="C310" s="22" t="s">
        <v>124</v>
      </c>
      <c r="D310" s="23">
        <v>4</v>
      </c>
      <c r="E310" s="24">
        <f>SUM($D$2:D310)/SUM($D$2:$D$2846)</f>
        <v>0.71146983857264234</v>
      </c>
      <c r="F310" s="22" t="s">
        <v>46</v>
      </c>
      <c r="G310" s="25" t="s">
        <v>125</v>
      </c>
    </row>
    <row r="311" spans="1:7">
      <c r="A311" s="21" t="s">
        <v>446</v>
      </c>
      <c r="B311" s="22" t="s">
        <v>56</v>
      </c>
      <c r="C311" s="22" t="s">
        <v>124</v>
      </c>
      <c r="D311" s="23">
        <v>4</v>
      </c>
      <c r="E311" s="24">
        <f>SUM($D$2:D311)/SUM($D$2:$D$2846)</f>
        <v>0.7118096856414613</v>
      </c>
      <c r="F311" s="22" t="s">
        <v>46</v>
      </c>
      <c r="G311" s="25" t="s">
        <v>125</v>
      </c>
    </row>
    <row r="312" spans="1:7">
      <c r="A312" s="21" t="s">
        <v>447</v>
      </c>
      <c r="B312" s="22" t="s">
        <v>56</v>
      </c>
      <c r="C312" s="22" t="s">
        <v>124</v>
      </c>
      <c r="D312" s="23">
        <v>4</v>
      </c>
      <c r="E312" s="24">
        <f>SUM($D$2:D312)/SUM($D$2:$D$2846)</f>
        <v>0.71214953271028036</v>
      </c>
      <c r="F312" s="22" t="s">
        <v>53</v>
      </c>
      <c r="G312" s="25" t="s">
        <v>125</v>
      </c>
    </row>
    <row r="313" spans="1:7">
      <c r="A313" s="21" t="s">
        <v>448</v>
      </c>
      <c r="B313" s="22" t="s">
        <v>56</v>
      </c>
      <c r="C313" s="22" t="s">
        <v>124</v>
      </c>
      <c r="D313" s="23">
        <v>4</v>
      </c>
      <c r="E313" s="24">
        <f>SUM($D$2:D313)/SUM($D$2:$D$2846)</f>
        <v>0.71248937977909943</v>
      </c>
      <c r="F313" s="22" t="s">
        <v>53</v>
      </c>
      <c r="G313" s="25" t="s">
        <v>125</v>
      </c>
    </row>
    <row r="314" spans="1:7">
      <c r="A314" s="21" t="s">
        <v>449</v>
      </c>
      <c r="B314" s="22" t="s">
        <v>56</v>
      </c>
      <c r="C314" s="22" t="s">
        <v>124</v>
      </c>
      <c r="D314" s="23">
        <v>4</v>
      </c>
      <c r="E314" s="24">
        <f>SUM($D$2:D314)/SUM($D$2:$D$2846)</f>
        <v>0.71282922684791838</v>
      </c>
      <c r="F314" s="22" t="s">
        <v>53</v>
      </c>
      <c r="G314" s="25" t="s">
        <v>125</v>
      </c>
    </row>
    <row r="315" spans="1:7">
      <c r="A315" s="21" t="s">
        <v>450</v>
      </c>
      <c r="B315" s="22" t="s">
        <v>56</v>
      </c>
      <c r="C315" s="22" t="s">
        <v>124</v>
      </c>
      <c r="D315" s="23">
        <v>4</v>
      </c>
      <c r="E315" s="24">
        <f>SUM($D$2:D315)/SUM($D$2:$D$2846)</f>
        <v>0.71316907391673745</v>
      </c>
      <c r="F315" s="22" t="s">
        <v>53</v>
      </c>
      <c r="G315" s="25" t="s">
        <v>125</v>
      </c>
    </row>
    <row r="316" spans="1:7">
      <c r="A316" s="21" t="s">
        <v>451</v>
      </c>
      <c r="B316" s="22" t="s">
        <v>56</v>
      </c>
      <c r="C316" s="22" t="s">
        <v>124</v>
      </c>
      <c r="D316" s="23">
        <v>4</v>
      </c>
      <c r="E316" s="24">
        <f>SUM($D$2:D316)/SUM($D$2:$D$2846)</f>
        <v>0.71350892098555652</v>
      </c>
      <c r="F316" s="22" t="s">
        <v>53</v>
      </c>
      <c r="G316" s="25" t="s">
        <v>125</v>
      </c>
    </row>
    <row r="317" spans="1:7">
      <c r="A317" s="21" t="s">
        <v>52</v>
      </c>
      <c r="B317" s="26" t="s">
        <v>44</v>
      </c>
      <c r="C317" s="22" t="s">
        <v>45</v>
      </c>
      <c r="D317" s="23">
        <v>4</v>
      </c>
      <c r="E317" s="24">
        <f>SUM($D$2:D317)/SUM($D$2:$D$2846)</f>
        <v>0.71384876805437558</v>
      </c>
      <c r="F317" s="22" t="s">
        <v>53</v>
      </c>
      <c r="G317" s="25" t="s">
        <v>47</v>
      </c>
    </row>
    <row r="318" spans="1:7">
      <c r="A318" s="21" t="s">
        <v>452</v>
      </c>
      <c r="B318" s="22" t="s">
        <v>56</v>
      </c>
      <c r="C318" s="22" t="s">
        <v>124</v>
      </c>
      <c r="D318" s="23">
        <v>4</v>
      </c>
      <c r="E318" s="24">
        <f>SUM($D$2:D318)/SUM($D$2:$D$2846)</f>
        <v>0.71418861512319454</v>
      </c>
      <c r="F318" s="22" t="s">
        <v>53</v>
      </c>
      <c r="G318" s="25" t="s">
        <v>125</v>
      </c>
    </row>
    <row r="319" spans="1:7">
      <c r="A319" s="21" t="s">
        <v>453</v>
      </c>
      <c r="B319" s="22" t="s">
        <v>56</v>
      </c>
      <c r="C319" s="22" t="s">
        <v>124</v>
      </c>
      <c r="D319" s="23">
        <v>4</v>
      </c>
      <c r="E319" s="24">
        <f>SUM($D$2:D319)/SUM($D$2:$D$2846)</f>
        <v>0.7145284621920136</v>
      </c>
      <c r="F319" s="22" t="s">
        <v>53</v>
      </c>
      <c r="G319" s="25" t="s">
        <v>125</v>
      </c>
    </row>
    <row r="320" spans="1:7">
      <c r="A320" s="21" t="s">
        <v>454</v>
      </c>
      <c r="B320" s="22" t="s">
        <v>56</v>
      </c>
      <c r="C320" s="22" t="s">
        <v>124</v>
      </c>
      <c r="D320" s="23">
        <v>4</v>
      </c>
      <c r="E320" s="24">
        <f>SUM($D$2:D320)/SUM($D$2:$D$2846)</f>
        <v>0.71486830926083267</v>
      </c>
      <c r="F320" s="22" t="s">
        <v>53</v>
      </c>
      <c r="G320" s="25" t="s">
        <v>125</v>
      </c>
    </row>
    <row r="321" spans="1:7">
      <c r="A321" s="21" t="s">
        <v>455</v>
      </c>
      <c r="B321" s="22" t="s">
        <v>56</v>
      </c>
      <c r="C321" s="22" t="s">
        <v>124</v>
      </c>
      <c r="D321" s="23">
        <v>4</v>
      </c>
      <c r="E321" s="24">
        <f>SUM($D$2:D321)/SUM($D$2:$D$2846)</f>
        <v>0.71520815632965162</v>
      </c>
      <c r="F321" s="22" t="s">
        <v>53</v>
      </c>
      <c r="G321" s="25" t="s">
        <v>125</v>
      </c>
    </row>
    <row r="322" spans="1:7">
      <c r="A322" s="21" t="s">
        <v>456</v>
      </c>
      <c r="B322" s="26" t="s">
        <v>163</v>
      </c>
      <c r="C322" s="22" t="s">
        <v>45</v>
      </c>
      <c r="D322" s="23">
        <v>4</v>
      </c>
      <c r="E322" s="24">
        <f>SUM($D$2:D322)/SUM($D$2:$D$2846)</f>
        <v>0.71554800339847069</v>
      </c>
      <c r="F322" s="22" t="s">
        <v>53</v>
      </c>
      <c r="G322" s="25" t="s">
        <v>164</v>
      </c>
    </row>
    <row r="323" spans="1:7">
      <c r="A323" s="21" t="s">
        <v>457</v>
      </c>
      <c r="B323" s="26" t="s">
        <v>163</v>
      </c>
      <c r="C323" s="22" t="s">
        <v>45</v>
      </c>
      <c r="D323" s="23">
        <v>4</v>
      </c>
      <c r="E323" s="24">
        <f>SUM($D$2:D323)/SUM($D$2:$D$2846)</f>
        <v>0.71588785046728975</v>
      </c>
      <c r="F323" s="22" t="s">
        <v>53</v>
      </c>
      <c r="G323" s="25" t="s">
        <v>164</v>
      </c>
    </row>
    <row r="324" spans="1:7">
      <c r="A324" s="21" t="s">
        <v>458</v>
      </c>
      <c r="B324" s="22" t="s">
        <v>56</v>
      </c>
      <c r="C324" s="22" t="s">
        <v>124</v>
      </c>
      <c r="D324" s="23">
        <v>4</v>
      </c>
      <c r="E324" s="24">
        <f>SUM($D$2:D324)/SUM($D$2:$D$2846)</f>
        <v>0.71622769753610871</v>
      </c>
      <c r="F324" s="22" t="s">
        <v>53</v>
      </c>
      <c r="G324" s="25" t="s">
        <v>125</v>
      </c>
    </row>
    <row r="325" spans="1:7">
      <c r="A325" s="21" t="s">
        <v>459</v>
      </c>
      <c r="B325" s="22" t="s">
        <v>56</v>
      </c>
      <c r="C325" s="22" t="s">
        <v>124</v>
      </c>
      <c r="D325" s="23">
        <v>4</v>
      </c>
      <c r="E325" s="24">
        <f>SUM($D$2:D325)/SUM($D$2:$D$2846)</f>
        <v>0.71656754460492778</v>
      </c>
      <c r="F325" s="22" t="s">
        <v>53</v>
      </c>
      <c r="G325" s="25" t="s">
        <v>125</v>
      </c>
    </row>
    <row r="326" spans="1:7">
      <c r="A326" s="21" t="s">
        <v>460</v>
      </c>
      <c r="B326" s="22" t="s">
        <v>56</v>
      </c>
      <c r="C326" s="22" t="s">
        <v>124</v>
      </c>
      <c r="D326" s="23">
        <v>4</v>
      </c>
      <c r="E326" s="24">
        <f>SUM($D$2:D326)/SUM($D$2:$D$2846)</f>
        <v>0.71690739167374684</v>
      </c>
      <c r="F326" s="22" t="s">
        <v>53</v>
      </c>
      <c r="G326" s="25" t="s">
        <v>125</v>
      </c>
    </row>
    <row r="327" spans="1:7">
      <c r="A327" s="21" t="s">
        <v>461</v>
      </c>
      <c r="B327" s="22" t="s">
        <v>56</v>
      </c>
      <c r="C327" s="22" t="s">
        <v>124</v>
      </c>
      <c r="D327" s="23">
        <v>4</v>
      </c>
      <c r="E327" s="24">
        <f>SUM($D$2:D327)/SUM($D$2:$D$2846)</f>
        <v>0.7172472387425658</v>
      </c>
      <c r="F327" s="22" t="s">
        <v>53</v>
      </c>
      <c r="G327" s="25" t="s">
        <v>125</v>
      </c>
    </row>
    <row r="328" spans="1:7">
      <c r="A328" s="21" t="s">
        <v>462</v>
      </c>
      <c r="B328" s="22" t="s">
        <v>56</v>
      </c>
      <c r="C328" s="22" t="s">
        <v>124</v>
      </c>
      <c r="D328" s="23">
        <v>4</v>
      </c>
      <c r="E328" s="24">
        <f>SUM($D$2:D328)/SUM($D$2:$D$2846)</f>
        <v>0.71758708581138486</v>
      </c>
      <c r="F328" s="22" t="s">
        <v>53</v>
      </c>
      <c r="G328" s="25" t="s">
        <v>125</v>
      </c>
    </row>
    <row r="329" spans="1:7">
      <c r="A329" s="21" t="s">
        <v>463</v>
      </c>
      <c r="B329" s="22" t="s">
        <v>56</v>
      </c>
      <c r="C329" s="22" t="s">
        <v>124</v>
      </c>
      <c r="D329" s="23">
        <v>4</v>
      </c>
      <c r="E329" s="24">
        <f>SUM($D$2:D329)/SUM($D$2:$D$2846)</f>
        <v>0.71792693288020393</v>
      </c>
      <c r="F329" s="22" t="s">
        <v>53</v>
      </c>
      <c r="G329" s="25" t="s">
        <v>125</v>
      </c>
    </row>
    <row r="330" spans="1:7">
      <c r="A330" s="21" t="s">
        <v>464</v>
      </c>
      <c r="B330" s="22" t="s">
        <v>56</v>
      </c>
      <c r="C330" s="22" t="s">
        <v>124</v>
      </c>
      <c r="D330" s="23">
        <v>4</v>
      </c>
      <c r="E330" s="24">
        <f>SUM($D$2:D330)/SUM($D$2:$D$2846)</f>
        <v>0.71826677994902299</v>
      </c>
      <c r="F330" s="22" t="s">
        <v>53</v>
      </c>
      <c r="G330" s="25" t="s">
        <v>125</v>
      </c>
    </row>
    <row r="331" spans="1:7">
      <c r="A331" s="21" t="s">
        <v>465</v>
      </c>
      <c r="B331" s="22" t="s">
        <v>56</v>
      </c>
      <c r="C331" s="22" t="s">
        <v>124</v>
      </c>
      <c r="D331" s="23">
        <v>4</v>
      </c>
      <c r="E331" s="24">
        <f>SUM($D$2:D331)/SUM($D$2:$D$2846)</f>
        <v>0.71860662701784195</v>
      </c>
      <c r="F331" s="22" t="s">
        <v>53</v>
      </c>
      <c r="G331" s="25" t="s">
        <v>125</v>
      </c>
    </row>
    <row r="332" spans="1:7">
      <c r="A332" s="21" t="s">
        <v>466</v>
      </c>
      <c r="B332" s="22" t="s">
        <v>56</v>
      </c>
      <c r="C332" s="22" t="s">
        <v>124</v>
      </c>
      <c r="D332" s="23">
        <v>4</v>
      </c>
      <c r="E332" s="24">
        <f>SUM($D$2:D332)/SUM($D$2:$D$2846)</f>
        <v>0.71894647408666101</v>
      </c>
      <c r="F332" s="22" t="s">
        <v>53</v>
      </c>
      <c r="G332" s="25" t="s">
        <v>125</v>
      </c>
    </row>
    <row r="333" spans="1:7">
      <c r="A333" s="21" t="s">
        <v>467</v>
      </c>
      <c r="B333" s="22" t="s">
        <v>56</v>
      </c>
      <c r="C333" s="22" t="s">
        <v>124</v>
      </c>
      <c r="D333" s="23">
        <v>4</v>
      </c>
      <c r="E333" s="24">
        <f>SUM($D$2:D333)/SUM($D$2:$D$2846)</f>
        <v>0.71928632115548008</v>
      </c>
      <c r="F333" s="22" t="s">
        <v>53</v>
      </c>
      <c r="G333" s="25" t="s">
        <v>125</v>
      </c>
    </row>
    <row r="334" spans="1:7">
      <c r="A334" s="21" t="s">
        <v>468</v>
      </c>
      <c r="B334" s="22" t="s">
        <v>56</v>
      </c>
      <c r="C334" s="22" t="s">
        <v>124</v>
      </c>
      <c r="D334" s="23">
        <v>4</v>
      </c>
      <c r="E334" s="24">
        <f>SUM($D$2:D334)/SUM($D$2:$D$2846)</f>
        <v>0.71962616822429903</v>
      </c>
      <c r="F334" s="22" t="s">
        <v>53</v>
      </c>
      <c r="G334" s="25" t="s">
        <v>125</v>
      </c>
    </row>
    <row r="335" spans="1:7">
      <c r="A335" s="21" t="s">
        <v>469</v>
      </c>
      <c r="B335" s="22" t="s">
        <v>56</v>
      </c>
      <c r="C335" s="22" t="s">
        <v>124</v>
      </c>
      <c r="D335" s="23">
        <v>4</v>
      </c>
      <c r="E335" s="24">
        <f>SUM($D$2:D335)/SUM($D$2:$D$2846)</f>
        <v>0.7199660152931181</v>
      </c>
      <c r="F335" s="22" t="s">
        <v>53</v>
      </c>
      <c r="G335" s="25" t="s">
        <v>125</v>
      </c>
    </row>
    <row r="336" spans="1:7">
      <c r="A336" s="21" t="s">
        <v>470</v>
      </c>
      <c r="B336" s="26" t="s">
        <v>163</v>
      </c>
      <c r="C336" s="22" t="s">
        <v>45</v>
      </c>
      <c r="D336" s="23">
        <v>4</v>
      </c>
      <c r="E336" s="24">
        <f>SUM($D$2:D336)/SUM($D$2:$D$2846)</f>
        <v>0.72030586236193717</v>
      </c>
      <c r="F336" s="22" t="s">
        <v>53</v>
      </c>
      <c r="G336" s="25" t="s">
        <v>164</v>
      </c>
    </row>
    <row r="337" spans="1:7">
      <c r="A337" s="21" t="s">
        <v>471</v>
      </c>
      <c r="B337" s="22" t="s">
        <v>56</v>
      </c>
      <c r="C337" s="22" t="s">
        <v>124</v>
      </c>
      <c r="D337" s="23">
        <v>4</v>
      </c>
      <c r="E337" s="24">
        <f>SUM($D$2:D337)/SUM($D$2:$D$2846)</f>
        <v>0.72064570943075612</v>
      </c>
      <c r="F337" s="22" t="s">
        <v>53</v>
      </c>
      <c r="G337" s="25" t="s">
        <v>125</v>
      </c>
    </row>
    <row r="338" spans="1:7">
      <c r="A338" s="21" t="s">
        <v>472</v>
      </c>
      <c r="B338" s="26" t="s">
        <v>163</v>
      </c>
      <c r="C338" s="22" t="s">
        <v>45</v>
      </c>
      <c r="D338" s="23">
        <v>4</v>
      </c>
      <c r="E338" s="24">
        <f>SUM($D$2:D338)/SUM($D$2:$D$2846)</f>
        <v>0.72098555649957519</v>
      </c>
      <c r="F338" s="22" t="s">
        <v>53</v>
      </c>
      <c r="G338" s="25" t="s">
        <v>164</v>
      </c>
    </row>
    <row r="339" spans="1:7">
      <c r="A339" s="21" t="s">
        <v>473</v>
      </c>
      <c r="B339" s="22" t="s">
        <v>56</v>
      </c>
      <c r="C339" s="22" t="s">
        <v>124</v>
      </c>
      <c r="D339" s="23">
        <v>4</v>
      </c>
      <c r="E339" s="24">
        <f>SUM($D$2:D339)/SUM($D$2:$D$2846)</f>
        <v>0.72132540356839425</v>
      </c>
      <c r="F339" s="22" t="s">
        <v>53</v>
      </c>
      <c r="G339" s="25" t="s">
        <v>125</v>
      </c>
    </row>
    <row r="340" spans="1:7">
      <c r="A340" s="21" t="s">
        <v>474</v>
      </c>
      <c r="B340" s="22" t="s">
        <v>56</v>
      </c>
      <c r="C340" s="22" t="s">
        <v>124</v>
      </c>
      <c r="D340" s="23">
        <v>4</v>
      </c>
      <c r="E340" s="24">
        <f>SUM($D$2:D340)/SUM($D$2:$D$2846)</f>
        <v>0.72166525063721321</v>
      </c>
      <c r="F340" s="22" t="s">
        <v>53</v>
      </c>
      <c r="G340" s="25" t="s">
        <v>125</v>
      </c>
    </row>
    <row r="341" spans="1:7">
      <c r="A341" s="21" t="s">
        <v>475</v>
      </c>
      <c r="B341" s="22" t="s">
        <v>56</v>
      </c>
      <c r="C341" s="22" t="s">
        <v>124</v>
      </c>
      <c r="D341" s="23">
        <v>4</v>
      </c>
      <c r="E341" s="24">
        <f>SUM($D$2:D341)/SUM($D$2:$D$2846)</f>
        <v>0.72200509770603227</v>
      </c>
      <c r="F341" s="22" t="s">
        <v>53</v>
      </c>
      <c r="G341" s="25" t="s">
        <v>125</v>
      </c>
    </row>
    <row r="342" spans="1:7">
      <c r="A342" s="21" t="s">
        <v>476</v>
      </c>
      <c r="B342" s="22" t="s">
        <v>56</v>
      </c>
      <c r="C342" s="22" t="s">
        <v>124</v>
      </c>
      <c r="D342" s="23">
        <v>4</v>
      </c>
      <c r="E342" s="24">
        <f>SUM($D$2:D342)/SUM($D$2:$D$2846)</f>
        <v>0.72234494477485134</v>
      </c>
      <c r="F342" s="22" t="s">
        <v>53</v>
      </c>
      <c r="G342" s="25" t="s">
        <v>125</v>
      </c>
    </row>
    <row r="343" spans="1:7">
      <c r="A343" s="21" t="s">
        <v>477</v>
      </c>
      <c r="B343" s="22" t="s">
        <v>56</v>
      </c>
      <c r="C343" s="22" t="s">
        <v>124</v>
      </c>
      <c r="D343" s="23">
        <v>4</v>
      </c>
      <c r="E343" s="24">
        <f>SUM($D$2:D343)/SUM($D$2:$D$2846)</f>
        <v>0.72268479184367029</v>
      </c>
      <c r="F343" s="22" t="s">
        <v>53</v>
      </c>
      <c r="G343" s="25" t="s">
        <v>125</v>
      </c>
    </row>
    <row r="344" spans="1:7">
      <c r="A344" s="21" t="s">
        <v>478</v>
      </c>
      <c r="B344" s="22" t="s">
        <v>56</v>
      </c>
      <c r="C344" s="22" t="s">
        <v>124</v>
      </c>
      <c r="D344" s="23">
        <v>4</v>
      </c>
      <c r="E344" s="24">
        <f>SUM($D$2:D344)/SUM($D$2:$D$2846)</f>
        <v>0.72302463891248936</v>
      </c>
      <c r="F344" s="22" t="s">
        <v>53</v>
      </c>
      <c r="G344" s="25" t="s">
        <v>125</v>
      </c>
    </row>
    <row r="345" spans="1:7">
      <c r="A345" s="21" t="s">
        <v>479</v>
      </c>
      <c r="B345" s="22" t="s">
        <v>56</v>
      </c>
      <c r="C345" s="22" t="s">
        <v>124</v>
      </c>
      <c r="D345" s="23">
        <v>4</v>
      </c>
      <c r="E345" s="24">
        <f>SUM($D$2:D345)/SUM($D$2:$D$2846)</f>
        <v>0.72336448598130842</v>
      </c>
      <c r="F345" s="22" t="s">
        <v>53</v>
      </c>
      <c r="G345" s="25" t="s">
        <v>125</v>
      </c>
    </row>
    <row r="346" spans="1:7">
      <c r="A346" s="21" t="s">
        <v>480</v>
      </c>
      <c r="B346" s="22" t="s">
        <v>56</v>
      </c>
      <c r="C346" s="22" t="s">
        <v>124</v>
      </c>
      <c r="D346" s="23">
        <v>4</v>
      </c>
      <c r="E346" s="24">
        <f>SUM($D$2:D346)/SUM($D$2:$D$2846)</f>
        <v>0.72370433305012749</v>
      </c>
      <c r="F346" s="22" t="s">
        <v>53</v>
      </c>
      <c r="G346" s="25" t="s">
        <v>125</v>
      </c>
    </row>
    <row r="347" spans="1:7">
      <c r="A347" s="21" t="s">
        <v>481</v>
      </c>
      <c r="B347" s="26" t="s">
        <v>163</v>
      </c>
      <c r="C347" s="22" t="s">
        <v>45</v>
      </c>
      <c r="D347" s="23">
        <v>4</v>
      </c>
      <c r="E347" s="24">
        <f>SUM($D$2:D347)/SUM($D$2:$D$2846)</f>
        <v>0.72404418011894645</v>
      </c>
      <c r="F347" s="22" t="s">
        <v>53</v>
      </c>
      <c r="G347" s="25" t="s">
        <v>164</v>
      </c>
    </row>
    <row r="348" spans="1:7">
      <c r="A348" s="21" t="s">
        <v>482</v>
      </c>
      <c r="B348" s="26" t="s">
        <v>163</v>
      </c>
      <c r="C348" s="22" t="s">
        <v>45</v>
      </c>
      <c r="D348" s="23">
        <v>4</v>
      </c>
      <c r="E348" s="24">
        <f>SUM($D$2:D348)/SUM($D$2:$D$2846)</f>
        <v>0.72438402718776551</v>
      </c>
      <c r="F348" s="22" t="s">
        <v>53</v>
      </c>
      <c r="G348" s="25" t="s">
        <v>164</v>
      </c>
    </row>
    <row r="349" spans="1:7">
      <c r="A349" s="21" t="s">
        <v>483</v>
      </c>
      <c r="B349" s="26" t="s">
        <v>163</v>
      </c>
      <c r="C349" s="22" t="s">
        <v>45</v>
      </c>
      <c r="D349" s="23">
        <v>4</v>
      </c>
      <c r="E349" s="24">
        <f>SUM($D$2:D349)/SUM($D$2:$D$2846)</f>
        <v>0.72472387425658458</v>
      </c>
      <c r="F349" s="22" t="s">
        <v>53</v>
      </c>
      <c r="G349" s="25" t="s">
        <v>164</v>
      </c>
    </row>
    <row r="350" spans="1:7">
      <c r="A350" s="21" t="s">
        <v>484</v>
      </c>
      <c r="B350" s="22" t="s">
        <v>56</v>
      </c>
      <c r="C350" s="22" t="s">
        <v>124</v>
      </c>
      <c r="D350" s="23">
        <v>4</v>
      </c>
      <c r="E350" s="24">
        <f>SUM($D$2:D350)/SUM($D$2:$D$2846)</f>
        <v>0.72506372132540353</v>
      </c>
      <c r="F350" s="22" t="s">
        <v>53</v>
      </c>
      <c r="G350" s="25" t="s">
        <v>125</v>
      </c>
    </row>
    <row r="351" spans="1:7">
      <c r="A351" s="21" t="s">
        <v>485</v>
      </c>
      <c r="B351" s="22" t="s">
        <v>56</v>
      </c>
      <c r="C351" s="22" t="s">
        <v>124</v>
      </c>
      <c r="D351" s="23">
        <v>4</v>
      </c>
      <c r="E351" s="24">
        <f>SUM($D$2:D351)/SUM($D$2:$D$2846)</f>
        <v>0.7254035683942226</v>
      </c>
      <c r="F351" s="22" t="s">
        <v>53</v>
      </c>
      <c r="G351" s="25" t="s">
        <v>125</v>
      </c>
    </row>
    <row r="352" spans="1:7">
      <c r="A352" s="21" t="s">
        <v>486</v>
      </c>
      <c r="B352" s="22" t="s">
        <v>56</v>
      </c>
      <c r="C352" s="22" t="s">
        <v>124</v>
      </c>
      <c r="D352" s="23">
        <v>4</v>
      </c>
      <c r="E352" s="24">
        <f>SUM($D$2:D352)/SUM($D$2:$D$2846)</f>
        <v>0.72574341546304166</v>
      </c>
      <c r="F352" s="22" t="s">
        <v>53</v>
      </c>
      <c r="G352" s="25" t="s">
        <v>125</v>
      </c>
    </row>
    <row r="353" spans="1:7">
      <c r="A353" s="21" t="s">
        <v>487</v>
      </c>
      <c r="B353" s="22" t="s">
        <v>129</v>
      </c>
      <c r="C353" s="22" t="s">
        <v>124</v>
      </c>
      <c r="D353" s="23">
        <v>4</v>
      </c>
      <c r="E353" s="24">
        <f>SUM($D$2:D353)/SUM($D$2:$D$2846)</f>
        <v>0.72608326253186062</v>
      </c>
      <c r="F353" s="22" t="s">
        <v>53</v>
      </c>
      <c r="G353" s="25" t="s">
        <v>130</v>
      </c>
    </row>
    <row r="354" spans="1:7">
      <c r="A354" s="21" t="s">
        <v>488</v>
      </c>
      <c r="B354" s="22" t="s">
        <v>56</v>
      </c>
      <c r="C354" s="22" t="s">
        <v>124</v>
      </c>
      <c r="D354" s="23">
        <v>4</v>
      </c>
      <c r="E354" s="24">
        <f>SUM($D$2:D354)/SUM($D$2:$D$2846)</f>
        <v>0.72642310960067968</v>
      </c>
      <c r="F354" s="22" t="s">
        <v>53</v>
      </c>
      <c r="G354" s="25" t="s">
        <v>125</v>
      </c>
    </row>
    <row r="355" spans="1:7">
      <c r="A355" s="21" t="s">
        <v>489</v>
      </c>
      <c r="B355" s="22" t="s">
        <v>56</v>
      </c>
      <c r="C355" s="22" t="s">
        <v>124</v>
      </c>
      <c r="D355" s="23">
        <v>4</v>
      </c>
      <c r="E355" s="24">
        <f>SUM($D$2:D355)/SUM($D$2:$D$2846)</f>
        <v>0.72676295666949875</v>
      </c>
      <c r="F355" s="22" t="s">
        <v>53</v>
      </c>
      <c r="G355" s="25" t="s">
        <v>125</v>
      </c>
    </row>
    <row r="356" spans="1:7">
      <c r="A356" s="21" t="s">
        <v>490</v>
      </c>
      <c r="B356" s="22" t="s">
        <v>56</v>
      </c>
      <c r="C356" s="22" t="s">
        <v>124</v>
      </c>
      <c r="D356" s="23">
        <v>4</v>
      </c>
      <c r="E356" s="24">
        <f>SUM($D$2:D356)/SUM($D$2:$D$2846)</f>
        <v>0.7271028037383177</v>
      </c>
      <c r="F356" s="22" t="s">
        <v>53</v>
      </c>
      <c r="G356" s="25" t="s">
        <v>125</v>
      </c>
    </row>
    <row r="357" spans="1:7">
      <c r="A357" s="21" t="s">
        <v>491</v>
      </c>
      <c r="B357" s="26" t="s">
        <v>163</v>
      </c>
      <c r="C357" s="22" t="s">
        <v>45</v>
      </c>
      <c r="D357" s="23">
        <v>4</v>
      </c>
      <c r="E357" s="24">
        <f>SUM($D$2:D357)/SUM($D$2:$D$2846)</f>
        <v>0.72744265080713677</v>
      </c>
      <c r="F357" s="22" t="s">
        <v>53</v>
      </c>
      <c r="G357" s="25" t="s">
        <v>164</v>
      </c>
    </row>
    <row r="358" spans="1:7">
      <c r="A358" s="21" t="s">
        <v>492</v>
      </c>
      <c r="B358" s="22" t="s">
        <v>56</v>
      </c>
      <c r="C358" s="22" t="s">
        <v>124</v>
      </c>
      <c r="D358" s="23">
        <v>4</v>
      </c>
      <c r="E358" s="24">
        <f>SUM($D$2:D358)/SUM($D$2:$D$2846)</f>
        <v>0.72778249787595584</v>
      </c>
      <c r="F358" s="22" t="s">
        <v>53</v>
      </c>
      <c r="G358" s="25" t="s">
        <v>125</v>
      </c>
    </row>
    <row r="359" spans="1:7">
      <c r="A359" s="21" t="s">
        <v>493</v>
      </c>
      <c r="B359" s="22" t="s">
        <v>56</v>
      </c>
      <c r="C359" s="22" t="s">
        <v>124</v>
      </c>
      <c r="D359" s="23">
        <v>4</v>
      </c>
      <c r="E359" s="24">
        <f>SUM($D$2:D359)/SUM($D$2:$D$2846)</f>
        <v>0.7281223449447749</v>
      </c>
      <c r="F359" s="22" t="s">
        <v>53</v>
      </c>
      <c r="G359" s="25" t="s">
        <v>125</v>
      </c>
    </row>
    <row r="360" spans="1:7">
      <c r="A360" s="21" t="s">
        <v>494</v>
      </c>
      <c r="B360" s="22" t="s">
        <v>56</v>
      </c>
      <c r="C360" s="22" t="s">
        <v>124</v>
      </c>
      <c r="D360" s="23">
        <v>4</v>
      </c>
      <c r="E360" s="24">
        <f>SUM($D$2:D360)/SUM($D$2:$D$2846)</f>
        <v>0.72846219201359386</v>
      </c>
      <c r="F360" s="22" t="s">
        <v>53</v>
      </c>
      <c r="G360" s="25" t="s">
        <v>125</v>
      </c>
    </row>
    <row r="361" spans="1:7">
      <c r="A361" s="21" t="s">
        <v>495</v>
      </c>
      <c r="B361" s="22" t="s">
        <v>56</v>
      </c>
      <c r="C361" s="22" t="s">
        <v>124</v>
      </c>
      <c r="D361" s="23">
        <v>4</v>
      </c>
      <c r="E361" s="24">
        <f>SUM($D$2:D361)/SUM($D$2:$D$2846)</f>
        <v>0.72880203908241292</v>
      </c>
      <c r="F361" s="22" t="s">
        <v>53</v>
      </c>
      <c r="G361" s="25" t="s">
        <v>125</v>
      </c>
    </row>
    <row r="362" spans="1:7">
      <c r="A362" s="21" t="s">
        <v>496</v>
      </c>
      <c r="B362" s="22" t="s">
        <v>56</v>
      </c>
      <c r="C362" s="22" t="s">
        <v>124</v>
      </c>
      <c r="D362" s="23">
        <v>4</v>
      </c>
      <c r="E362" s="24">
        <f>SUM($D$2:D362)/SUM($D$2:$D$2846)</f>
        <v>0.72914188615123199</v>
      </c>
      <c r="F362" s="22" t="s">
        <v>53</v>
      </c>
      <c r="G362" s="25" t="s">
        <v>125</v>
      </c>
    </row>
    <row r="363" spans="1:7">
      <c r="A363" s="21" t="s">
        <v>497</v>
      </c>
      <c r="B363" s="22" t="s">
        <v>56</v>
      </c>
      <c r="C363" s="22" t="s">
        <v>124</v>
      </c>
      <c r="D363" s="23">
        <v>4</v>
      </c>
      <c r="E363" s="24">
        <f>SUM($D$2:D363)/SUM($D$2:$D$2846)</f>
        <v>0.72948173322005094</v>
      </c>
      <c r="F363" s="22" t="s">
        <v>53</v>
      </c>
      <c r="G363" s="25" t="s">
        <v>125</v>
      </c>
    </row>
    <row r="364" spans="1:7">
      <c r="A364" s="21" t="s">
        <v>498</v>
      </c>
      <c r="B364" s="22" t="s">
        <v>56</v>
      </c>
      <c r="C364" s="22" t="s">
        <v>124</v>
      </c>
      <c r="D364" s="23">
        <v>4</v>
      </c>
      <c r="E364" s="24">
        <f>SUM($D$2:D364)/SUM($D$2:$D$2846)</f>
        <v>0.72982158028887001</v>
      </c>
      <c r="F364" s="22" t="s">
        <v>53</v>
      </c>
      <c r="G364" s="25" t="s">
        <v>125</v>
      </c>
    </row>
    <row r="365" spans="1:7">
      <c r="A365" s="21" t="s">
        <v>499</v>
      </c>
      <c r="B365" s="22" t="s">
        <v>56</v>
      </c>
      <c r="C365" s="22" t="s">
        <v>124</v>
      </c>
      <c r="D365" s="23">
        <v>4</v>
      </c>
      <c r="E365" s="24">
        <f>SUM($D$2:D365)/SUM($D$2:$D$2846)</f>
        <v>0.73016142735768907</v>
      </c>
      <c r="F365" s="22" t="s">
        <v>53</v>
      </c>
      <c r="G365" s="25" t="s">
        <v>125</v>
      </c>
    </row>
    <row r="366" spans="1:7">
      <c r="A366" s="21" t="s">
        <v>500</v>
      </c>
      <c r="B366" s="22" t="s">
        <v>44</v>
      </c>
      <c r="C366" s="22" t="s">
        <v>124</v>
      </c>
      <c r="D366" s="23">
        <v>4</v>
      </c>
      <c r="E366" s="24">
        <f>SUM($D$2:D366)/SUM($D$2:$D$2846)</f>
        <v>0.73050127442650803</v>
      </c>
      <c r="F366" s="22" t="s">
        <v>53</v>
      </c>
      <c r="G366" s="25" t="s">
        <v>179</v>
      </c>
    </row>
    <row r="367" spans="1:7">
      <c r="A367" s="21" t="s">
        <v>501</v>
      </c>
      <c r="B367" s="22" t="s">
        <v>56</v>
      </c>
      <c r="C367" s="22" t="s">
        <v>124</v>
      </c>
      <c r="D367" s="23">
        <v>4</v>
      </c>
      <c r="E367" s="24">
        <f>SUM($D$2:D367)/SUM($D$2:$D$2846)</f>
        <v>0.7308411214953271</v>
      </c>
      <c r="F367" s="22" t="s">
        <v>53</v>
      </c>
      <c r="G367" s="25" t="s">
        <v>125</v>
      </c>
    </row>
    <row r="368" spans="1:7">
      <c r="A368" s="21" t="s">
        <v>502</v>
      </c>
      <c r="B368" s="22" t="s">
        <v>56</v>
      </c>
      <c r="C368" s="22" t="s">
        <v>124</v>
      </c>
      <c r="D368" s="23">
        <v>4</v>
      </c>
      <c r="E368" s="24">
        <f>SUM($D$2:D368)/SUM($D$2:$D$2846)</f>
        <v>0.73118096856414616</v>
      </c>
      <c r="F368" s="22" t="s">
        <v>53</v>
      </c>
      <c r="G368" s="25" t="s">
        <v>125</v>
      </c>
    </row>
    <row r="369" spans="1:7">
      <c r="A369" s="21" t="s">
        <v>503</v>
      </c>
      <c r="B369" s="22" t="s">
        <v>56</v>
      </c>
      <c r="C369" s="22" t="s">
        <v>124</v>
      </c>
      <c r="D369" s="23">
        <v>4</v>
      </c>
      <c r="E369" s="24">
        <f>SUM($D$2:D369)/SUM($D$2:$D$2846)</f>
        <v>0.73152081563296512</v>
      </c>
      <c r="F369" s="22" t="s">
        <v>53</v>
      </c>
      <c r="G369" s="25" t="s">
        <v>125</v>
      </c>
    </row>
    <row r="370" spans="1:7">
      <c r="A370" s="21" t="s">
        <v>504</v>
      </c>
      <c r="B370" s="22" t="s">
        <v>56</v>
      </c>
      <c r="C370" s="22" t="s">
        <v>124</v>
      </c>
      <c r="D370" s="23">
        <v>4</v>
      </c>
      <c r="E370" s="24">
        <f>SUM($D$2:D370)/SUM($D$2:$D$2846)</f>
        <v>0.73186066270178418</v>
      </c>
      <c r="F370" s="22" t="s">
        <v>53</v>
      </c>
      <c r="G370" s="25" t="s">
        <v>125</v>
      </c>
    </row>
    <row r="371" spans="1:7">
      <c r="A371" s="21" t="s">
        <v>505</v>
      </c>
      <c r="B371" s="22" t="s">
        <v>56</v>
      </c>
      <c r="C371" s="22" t="s">
        <v>124</v>
      </c>
      <c r="D371" s="23">
        <v>4</v>
      </c>
      <c r="E371" s="24">
        <f>SUM($D$2:D371)/SUM($D$2:$D$2846)</f>
        <v>0.73220050977060325</v>
      </c>
      <c r="F371" s="22" t="s">
        <v>53</v>
      </c>
      <c r="G371" s="25" t="s">
        <v>125</v>
      </c>
    </row>
    <row r="372" spans="1:7">
      <c r="A372" s="21" t="s">
        <v>506</v>
      </c>
      <c r="B372" s="22" t="s">
        <v>56</v>
      </c>
      <c r="C372" s="22" t="s">
        <v>124</v>
      </c>
      <c r="D372" s="23">
        <v>4</v>
      </c>
      <c r="E372" s="24">
        <f>SUM($D$2:D372)/SUM($D$2:$D$2846)</f>
        <v>0.73254035683942231</v>
      </c>
      <c r="F372" s="22" t="s">
        <v>53</v>
      </c>
      <c r="G372" s="25" t="s">
        <v>125</v>
      </c>
    </row>
    <row r="373" spans="1:7">
      <c r="A373" s="21" t="s">
        <v>507</v>
      </c>
      <c r="B373" s="26" t="s">
        <v>163</v>
      </c>
      <c r="C373" s="22" t="s">
        <v>45</v>
      </c>
      <c r="D373" s="23">
        <v>4</v>
      </c>
      <c r="E373" s="24">
        <f>SUM($D$2:D373)/SUM($D$2:$D$2846)</f>
        <v>0.73288020390824127</v>
      </c>
      <c r="F373" s="22" t="s">
        <v>53</v>
      </c>
      <c r="G373" s="25" t="s">
        <v>164</v>
      </c>
    </row>
    <row r="374" spans="1:7">
      <c r="A374" s="21" t="s">
        <v>508</v>
      </c>
      <c r="B374" s="22" t="s">
        <v>56</v>
      </c>
      <c r="C374" s="22" t="s">
        <v>124</v>
      </c>
      <c r="D374" s="23">
        <v>4</v>
      </c>
      <c r="E374" s="24">
        <f>SUM($D$2:D374)/SUM($D$2:$D$2846)</f>
        <v>0.73322005097706033</v>
      </c>
      <c r="F374" s="22" t="s">
        <v>53</v>
      </c>
      <c r="G374" s="25" t="s">
        <v>125</v>
      </c>
    </row>
    <row r="375" spans="1:7">
      <c r="A375" s="21" t="s">
        <v>509</v>
      </c>
      <c r="B375" s="22" t="s">
        <v>56</v>
      </c>
      <c r="C375" s="22" t="s">
        <v>124</v>
      </c>
      <c r="D375" s="23">
        <v>4</v>
      </c>
      <c r="E375" s="24">
        <f>SUM($D$2:D375)/SUM($D$2:$D$2846)</f>
        <v>0.7335598980458794</v>
      </c>
      <c r="F375" s="22" t="s">
        <v>53</v>
      </c>
      <c r="G375" s="25" t="s">
        <v>125</v>
      </c>
    </row>
    <row r="376" spans="1:7">
      <c r="A376" s="21" t="s">
        <v>510</v>
      </c>
      <c r="B376" s="22" t="s">
        <v>56</v>
      </c>
      <c r="C376" s="22" t="s">
        <v>124</v>
      </c>
      <c r="D376" s="23">
        <v>4</v>
      </c>
      <c r="E376" s="24">
        <f>SUM($D$2:D376)/SUM($D$2:$D$2846)</f>
        <v>0.73389974511469835</v>
      </c>
      <c r="F376" s="22" t="s">
        <v>53</v>
      </c>
      <c r="G376" s="25" t="s">
        <v>125</v>
      </c>
    </row>
    <row r="377" spans="1:7">
      <c r="A377" s="21" t="s">
        <v>511</v>
      </c>
      <c r="B377" s="26" t="s">
        <v>163</v>
      </c>
      <c r="C377" s="22" t="s">
        <v>45</v>
      </c>
      <c r="D377" s="23">
        <v>4</v>
      </c>
      <c r="E377" s="24">
        <f>SUM($D$2:D377)/SUM($D$2:$D$2846)</f>
        <v>0.73423959218351742</v>
      </c>
      <c r="F377" s="22" t="s">
        <v>53</v>
      </c>
      <c r="G377" s="25" t="s">
        <v>164</v>
      </c>
    </row>
    <row r="378" spans="1:7">
      <c r="A378" s="21" t="s">
        <v>512</v>
      </c>
      <c r="B378" s="22" t="s">
        <v>56</v>
      </c>
      <c r="C378" s="22" t="s">
        <v>124</v>
      </c>
      <c r="D378" s="23">
        <v>3</v>
      </c>
      <c r="E378" s="24">
        <f>SUM($D$2:D378)/SUM($D$2:$D$2846)</f>
        <v>0.73449447748513164</v>
      </c>
      <c r="F378" s="22" t="s">
        <v>46</v>
      </c>
      <c r="G378" s="25" t="s">
        <v>125</v>
      </c>
    </row>
    <row r="379" spans="1:7">
      <c r="A379" s="21" t="s">
        <v>513</v>
      </c>
      <c r="B379" s="22" t="s">
        <v>56</v>
      </c>
      <c r="C379" s="22" t="s">
        <v>124</v>
      </c>
      <c r="D379" s="23">
        <v>3</v>
      </c>
      <c r="E379" s="24">
        <f>SUM($D$2:D379)/SUM($D$2:$D$2846)</f>
        <v>0.73474936278674596</v>
      </c>
      <c r="F379" s="22" t="s">
        <v>46</v>
      </c>
      <c r="G379" s="25" t="s">
        <v>125</v>
      </c>
    </row>
    <row r="380" spans="1:7">
      <c r="A380" s="21" t="s">
        <v>514</v>
      </c>
      <c r="B380" s="22" t="s">
        <v>56</v>
      </c>
      <c r="C380" s="22" t="s">
        <v>124</v>
      </c>
      <c r="D380" s="23">
        <v>3</v>
      </c>
      <c r="E380" s="24">
        <f>SUM($D$2:D380)/SUM($D$2:$D$2846)</f>
        <v>0.73500424808836029</v>
      </c>
      <c r="F380" s="22" t="s">
        <v>46</v>
      </c>
      <c r="G380" s="25" t="s">
        <v>125</v>
      </c>
    </row>
    <row r="381" spans="1:7">
      <c r="A381" s="21" t="s">
        <v>515</v>
      </c>
      <c r="B381" s="22" t="s">
        <v>56</v>
      </c>
      <c r="C381" s="22" t="s">
        <v>124</v>
      </c>
      <c r="D381" s="23">
        <v>3</v>
      </c>
      <c r="E381" s="24">
        <f>SUM($D$2:D381)/SUM($D$2:$D$2846)</f>
        <v>0.73525913338997451</v>
      </c>
      <c r="F381" s="22" t="s">
        <v>46</v>
      </c>
      <c r="G381" s="25" t="s">
        <v>125</v>
      </c>
    </row>
    <row r="382" spans="1:7">
      <c r="A382" s="21" t="s">
        <v>516</v>
      </c>
      <c r="B382" s="22" t="s">
        <v>56</v>
      </c>
      <c r="C382" s="22" t="s">
        <v>124</v>
      </c>
      <c r="D382" s="23">
        <v>3</v>
      </c>
      <c r="E382" s="24">
        <f>SUM($D$2:D382)/SUM($D$2:$D$2846)</f>
        <v>0.73551401869158883</v>
      </c>
      <c r="F382" s="22" t="s">
        <v>46</v>
      </c>
      <c r="G382" s="25" t="s">
        <v>125</v>
      </c>
    </row>
    <row r="383" spans="1:7">
      <c r="A383" s="21" t="s">
        <v>517</v>
      </c>
      <c r="B383" s="22" t="s">
        <v>56</v>
      </c>
      <c r="C383" s="22" t="s">
        <v>124</v>
      </c>
      <c r="D383" s="23">
        <v>3</v>
      </c>
      <c r="E383" s="24">
        <f>SUM($D$2:D383)/SUM($D$2:$D$2846)</f>
        <v>0.73576890399320305</v>
      </c>
      <c r="F383" s="22" t="s">
        <v>46</v>
      </c>
      <c r="G383" s="25" t="s">
        <v>125</v>
      </c>
    </row>
    <row r="384" spans="1:7">
      <c r="A384" s="21" t="s">
        <v>518</v>
      </c>
      <c r="B384" s="22" t="s">
        <v>56</v>
      </c>
      <c r="C384" s="22" t="s">
        <v>124</v>
      </c>
      <c r="D384" s="23">
        <v>3</v>
      </c>
      <c r="E384" s="24">
        <f>SUM($D$2:D384)/SUM($D$2:$D$2846)</f>
        <v>0.73602378929481738</v>
      </c>
      <c r="F384" s="22" t="s">
        <v>46</v>
      </c>
      <c r="G384" s="25" t="s">
        <v>125</v>
      </c>
    </row>
    <row r="385" spans="1:7">
      <c r="A385" s="21" t="s">
        <v>519</v>
      </c>
      <c r="B385" s="22" t="s">
        <v>56</v>
      </c>
      <c r="C385" s="22" t="s">
        <v>124</v>
      </c>
      <c r="D385" s="23">
        <v>3</v>
      </c>
      <c r="E385" s="24">
        <f>SUM($D$2:D385)/SUM($D$2:$D$2846)</f>
        <v>0.73627867459643159</v>
      </c>
      <c r="F385" s="22" t="s">
        <v>46</v>
      </c>
      <c r="G385" s="25" t="s">
        <v>125</v>
      </c>
    </row>
    <row r="386" spans="1:7">
      <c r="A386" s="21" t="s">
        <v>520</v>
      </c>
      <c r="B386" s="22" t="s">
        <v>56</v>
      </c>
      <c r="C386" s="22" t="s">
        <v>124</v>
      </c>
      <c r="D386" s="23">
        <v>3</v>
      </c>
      <c r="E386" s="24">
        <f>SUM($D$2:D386)/SUM($D$2:$D$2846)</f>
        <v>0.73653355989804592</v>
      </c>
      <c r="F386" s="22" t="s">
        <v>46</v>
      </c>
      <c r="G386" s="25" t="s">
        <v>125</v>
      </c>
    </row>
    <row r="387" spans="1:7">
      <c r="A387" s="21" t="s">
        <v>521</v>
      </c>
      <c r="B387" s="22" t="s">
        <v>56</v>
      </c>
      <c r="C387" s="22" t="s">
        <v>124</v>
      </c>
      <c r="D387" s="23">
        <v>3</v>
      </c>
      <c r="E387" s="24">
        <f>SUM($D$2:D387)/SUM($D$2:$D$2846)</f>
        <v>0.73678844519966014</v>
      </c>
      <c r="F387" s="22" t="s">
        <v>46</v>
      </c>
      <c r="G387" s="25" t="s">
        <v>125</v>
      </c>
    </row>
    <row r="388" spans="1:7">
      <c r="A388" s="21" t="s">
        <v>522</v>
      </c>
      <c r="B388" s="22" t="s">
        <v>56</v>
      </c>
      <c r="C388" s="22" t="s">
        <v>124</v>
      </c>
      <c r="D388" s="23">
        <v>3</v>
      </c>
      <c r="E388" s="24">
        <f>SUM($D$2:D388)/SUM($D$2:$D$2846)</f>
        <v>0.73704333050127446</v>
      </c>
      <c r="F388" s="22" t="s">
        <v>46</v>
      </c>
      <c r="G388" s="25" t="s">
        <v>125</v>
      </c>
    </row>
    <row r="389" spans="1:7">
      <c r="A389" s="21" t="s">
        <v>523</v>
      </c>
      <c r="B389" s="22" t="s">
        <v>56</v>
      </c>
      <c r="C389" s="22" t="s">
        <v>124</v>
      </c>
      <c r="D389" s="23">
        <v>3</v>
      </c>
      <c r="E389" s="24">
        <f>SUM($D$2:D389)/SUM($D$2:$D$2846)</f>
        <v>0.73729821580288868</v>
      </c>
      <c r="F389" s="22" t="s">
        <v>46</v>
      </c>
      <c r="G389" s="25" t="s">
        <v>125</v>
      </c>
    </row>
    <row r="390" spans="1:7">
      <c r="A390" s="21" t="s">
        <v>524</v>
      </c>
      <c r="B390" s="22" t="s">
        <v>56</v>
      </c>
      <c r="C390" s="22" t="s">
        <v>124</v>
      </c>
      <c r="D390" s="23">
        <v>3</v>
      </c>
      <c r="E390" s="24">
        <f>SUM($D$2:D390)/SUM($D$2:$D$2846)</f>
        <v>0.73755310110450301</v>
      </c>
      <c r="F390" s="22" t="s">
        <v>46</v>
      </c>
      <c r="G390" s="25" t="s">
        <v>125</v>
      </c>
    </row>
    <row r="391" spans="1:7">
      <c r="A391" s="21" t="s">
        <v>525</v>
      </c>
      <c r="B391" s="26" t="s">
        <v>163</v>
      </c>
      <c r="C391" s="22" t="s">
        <v>45</v>
      </c>
      <c r="D391" s="23">
        <v>3</v>
      </c>
      <c r="E391" s="24">
        <f>SUM($D$2:D391)/SUM($D$2:$D$2846)</f>
        <v>0.73780798640611722</v>
      </c>
      <c r="F391" s="22" t="s">
        <v>46</v>
      </c>
      <c r="G391" s="25" t="s">
        <v>164</v>
      </c>
    </row>
    <row r="392" spans="1:7">
      <c r="A392" s="21" t="s">
        <v>526</v>
      </c>
      <c r="B392" s="26" t="s">
        <v>163</v>
      </c>
      <c r="C392" s="22" t="s">
        <v>45</v>
      </c>
      <c r="D392" s="23">
        <v>3</v>
      </c>
      <c r="E392" s="24">
        <f>SUM($D$2:D392)/SUM($D$2:$D$2846)</f>
        <v>0.73806287170773155</v>
      </c>
      <c r="F392" s="22" t="s">
        <v>46</v>
      </c>
      <c r="G392" s="25" t="s">
        <v>164</v>
      </c>
    </row>
    <row r="393" spans="1:7">
      <c r="A393" s="21" t="s">
        <v>527</v>
      </c>
      <c r="B393" s="22" t="s">
        <v>56</v>
      </c>
      <c r="C393" s="22" t="s">
        <v>124</v>
      </c>
      <c r="D393" s="23">
        <v>3</v>
      </c>
      <c r="E393" s="24">
        <f>SUM($D$2:D393)/SUM($D$2:$D$2846)</f>
        <v>0.73831775700934577</v>
      </c>
      <c r="F393" s="22" t="s">
        <v>46</v>
      </c>
      <c r="G393" s="25" t="s">
        <v>125</v>
      </c>
    </row>
    <row r="394" spans="1:7">
      <c r="A394" s="21" t="s">
        <v>528</v>
      </c>
      <c r="B394" s="22" t="s">
        <v>56</v>
      </c>
      <c r="C394" s="22" t="s">
        <v>124</v>
      </c>
      <c r="D394" s="23">
        <v>3</v>
      </c>
      <c r="E394" s="24">
        <f>SUM($D$2:D394)/SUM($D$2:$D$2846)</f>
        <v>0.73857264231096009</v>
      </c>
      <c r="F394" s="22" t="s">
        <v>46</v>
      </c>
      <c r="G394" s="25" t="s">
        <v>125</v>
      </c>
    </row>
    <row r="395" spans="1:7">
      <c r="A395" s="21" t="s">
        <v>529</v>
      </c>
      <c r="B395" s="22" t="s">
        <v>56</v>
      </c>
      <c r="C395" s="22" t="s">
        <v>124</v>
      </c>
      <c r="D395" s="23">
        <v>3</v>
      </c>
      <c r="E395" s="24">
        <f>SUM($D$2:D395)/SUM($D$2:$D$2846)</f>
        <v>0.73882752761257431</v>
      </c>
      <c r="F395" s="22" t="s">
        <v>46</v>
      </c>
      <c r="G395" s="25" t="s">
        <v>125</v>
      </c>
    </row>
    <row r="396" spans="1:7">
      <c r="A396" s="21" t="s">
        <v>530</v>
      </c>
      <c r="B396" s="22" t="s">
        <v>56</v>
      </c>
      <c r="C396" s="22" t="s">
        <v>124</v>
      </c>
      <c r="D396" s="23">
        <v>3</v>
      </c>
      <c r="E396" s="24">
        <f>SUM($D$2:D396)/SUM($D$2:$D$2846)</f>
        <v>0.73908241291418864</v>
      </c>
      <c r="F396" s="22" t="s">
        <v>46</v>
      </c>
      <c r="G396" s="25" t="s">
        <v>125</v>
      </c>
    </row>
    <row r="397" spans="1:7">
      <c r="A397" s="21" t="s">
        <v>531</v>
      </c>
      <c r="B397" s="22" t="s">
        <v>56</v>
      </c>
      <c r="C397" s="22" t="s">
        <v>124</v>
      </c>
      <c r="D397" s="23">
        <v>3</v>
      </c>
      <c r="E397" s="24">
        <f>SUM($D$2:D397)/SUM($D$2:$D$2846)</f>
        <v>0.73933729821580285</v>
      </c>
      <c r="F397" s="22" t="s">
        <v>46</v>
      </c>
      <c r="G397" s="25" t="s">
        <v>125</v>
      </c>
    </row>
    <row r="398" spans="1:7">
      <c r="A398" s="21" t="s">
        <v>532</v>
      </c>
      <c r="B398" s="22" t="s">
        <v>56</v>
      </c>
      <c r="C398" s="22" t="s">
        <v>124</v>
      </c>
      <c r="D398" s="23">
        <v>3</v>
      </c>
      <c r="E398" s="24">
        <f>SUM($D$2:D398)/SUM($D$2:$D$2846)</f>
        <v>0.73959218351741718</v>
      </c>
      <c r="F398" s="22" t="s">
        <v>46</v>
      </c>
      <c r="G398" s="25" t="s">
        <v>125</v>
      </c>
    </row>
    <row r="399" spans="1:7">
      <c r="A399" s="21" t="s">
        <v>533</v>
      </c>
      <c r="B399" s="22" t="s">
        <v>56</v>
      </c>
      <c r="C399" s="22" t="s">
        <v>124</v>
      </c>
      <c r="D399" s="23">
        <v>3</v>
      </c>
      <c r="E399" s="24">
        <f>SUM($D$2:D399)/SUM($D$2:$D$2846)</f>
        <v>0.73984706881903139</v>
      </c>
      <c r="F399" s="22" t="s">
        <v>46</v>
      </c>
      <c r="G399" s="25" t="s">
        <v>125</v>
      </c>
    </row>
    <row r="400" spans="1:7">
      <c r="A400" s="21" t="s">
        <v>534</v>
      </c>
      <c r="B400" s="22" t="s">
        <v>56</v>
      </c>
      <c r="C400" s="22" t="s">
        <v>124</v>
      </c>
      <c r="D400" s="23">
        <v>3</v>
      </c>
      <c r="E400" s="24">
        <f>SUM($D$2:D400)/SUM($D$2:$D$2846)</f>
        <v>0.74010195412064572</v>
      </c>
      <c r="F400" s="22" t="s">
        <v>46</v>
      </c>
      <c r="G400" s="25" t="s">
        <v>125</v>
      </c>
    </row>
    <row r="401" spans="1:7">
      <c r="A401" s="21" t="s">
        <v>535</v>
      </c>
      <c r="B401" s="22" t="s">
        <v>56</v>
      </c>
      <c r="C401" s="22" t="s">
        <v>124</v>
      </c>
      <c r="D401" s="23">
        <v>3</v>
      </c>
      <c r="E401" s="24">
        <f>SUM($D$2:D401)/SUM($D$2:$D$2846)</f>
        <v>0.74035683942225994</v>
      </c>
      <c r="F401" s="22" t="s">
        <v>46</v>
      </c>
      <c r="G401" s="25" t="s">
        <v>125</v>
      </c>
    </row>
    <row r="402" spans="1:7">
      <c r="A402" s="21" t="s">
        <v>54</v>
      </c>
      <c r="B402" s="26" t="s">
        <v>44</v>
      </c>
      <c r="C402" s="22" t="s">
        <v>45</v>
      </c>
      <c r="D402" s="23">
        <v>3</v>
      </c>
      <c r="E402" s="24">
        <f>SUM($D$2:D402)/SUM($D$2:$D$2846)</f>
        <v>0.74061172472387427</v>
      </c>
      <c r="F402" s="22" t="s">
        <v>46</v>
      </c>
      <c r="G402" s="25" t="s">
        <v>47</v>
      </c>
    </row>
    <row r="403" spans="1:7">
      <c r="A403" s="21" t="s">
        <v>536</v>
      </c>
      <c r="B403" s="22" t="s">
        <v>56</v>
      </c>
      <c r="C403" s="22" t="s">
        <v>124</v>
      </c>
      <c r="D403" s="23">
        <v>3</v>
      </c>
      <c r="E403" s="24">
        <f>SUM($D$2:D403)/SUM($D$2:$D$2846)</f>
        <v>0.74086661002548848</v>
      </c>
      <c r="F403" s="22" t="s">
        <v>46</v>
      </c>
      <c r="G403" s="25" t="s">
        <v>125</v>
      </c>
    </row>
    <row r="404" spans="1:7">
      <c r="A404" s="21" t="s">
        <v>537</v>
      </c>
      <c r="B404" s="22" t="s">
        <v>56</v>
      </c>
      <c r="C404" s="22" t="s">
        <v>124</v>
      </c>
      <c r="D404" s="23">
        <v>3</v>
      </c>
      <c r="E404" s="24">
        <f>SUM($D$2:D404)/SUM($D$2:$D$2846)</f>
        <v>0.74112149532710281</v>
      </c>
      <c r="F404" s="22" t="s">
        <v>46</v>
      </c>
      <c r="G404" s="25" t="s">
        <v>125</v>
      </c>
    </row>
    <row r="405" spans="1:7">
      <c r="A405" s="21" t="s">
        <v>538</v>
      </c>
      <c r="B405" s="22" t="s">
        <v>56</v>
      </c>
      <c r="C405" s="22" t="s">
        <v>124</v>
      </c>
      <c r="D405" s="23">
        <v>3</v>
      </c>
      <c r="E405" s="24">
        <f>SUM($D$2:D405)/SUM($D$2:$D$2846)</f>
        <v>0.74137638062871702</v>
      </c>
      <c r="F405" s="22" t="s">
        <v>46</v>
      </c>
      <c r="G405" s="25" t="s">
        <v>125</v>
      </c>
    </row>
    <row r="406" spans="1:7">
      <c r="A406" s="21" t="s">
        <v>539</v>
      </c>
      <c r="B406" s="22" t="s">
        <v>56</v>
      </c>
      <c r="C406" s="22" t="s">
        <v>124</v>
      </c>
      <c r="D406" s="23">
        <v>3</v>
      </c>
      <c r="E406" s="24">
        <f>SUM($D$2:D406)/SUM($D$2:$D$2846)</f>
        <v>0.74163126593033135</v>
      </c>
      <c r="F406" s="22" t="s">
        <v>46</v>
      </c>
      <c r="G406" s="25" t="s">
        <v>125</v>
      </c>
    </row>
    <row r="407" spans="1:7">
      <c r="A407" s="21" t="s">
        <v>540</v>
      </c>
      <c r="B407" s="22" t="s">
        <v>56</v>
      </c>
      <c r="C407" s="22" t="s">
        <v>124</v>
      </c>
      <c r="D407" s="23">
        <v>3</v>
      </c>
      <c r="E407" s="24">
        <f>SUM($D$2:D407)/SUM($D$2:$D$2846)</f>
        <v>0.74188615123194568</v>
      </c>
      <c r="F407" s="22" t="s">
        <v>46</v>
      </c>
      <c r="G407" s="25" t="s">
        <v>125</v>
      </c>
    </row>
    <row r="408" spans="1:7">
      <c r="A408" s="21" t="s">
        <v>541</v>
      </c>
      <c r="B408" s="22" t="s">
        <v>56</v>
      </c>
      <c r="C408" s="22" t="s">
        <v>124</v>
      </c>
      <c r="D408" s="23">
        <v>3</v>
      </c>
      <c r="E408" s="24">
        <f>SUM($D$2:D408)/SUM($D$2:$D$2846)</f>
        <v>0.74214103653355989</v>
      </c>
      <c r="F408" s="22" t="s">
        <v>46</v>
      </c>
      <c r="G408" s="25" t="s">
        <v>125</v>
      </c>
    </row>
    <row r="409" spans="1:7">
      <c r="A409" s="21" t="s">
        <v>542</v>
      </c>
      <c r="B409" s="22" t="s">
        <v>56</v>
      </c>
      <c r="C409" s="22" t="s">
        <v>124</v>
      </c>
      <c r="D409" s="23">
        <v>3</v>
      </c>
      <c r="E409" s="24">
        <f>SUM($D$2:D409)/SUM($D$2:$D$2846)</f>
        <v>0.74239592183517422</v>
      </c>
      <c r="F409" s="22" t="s">
        <v>46</v>
      </c>
      <c r="G409" s="25" t="s">
        <v>125</v>
      </c>
    </row>
    <row r="410" spans="1:7">
      <c r="A410" s="21" t="s">
        <v>543</v>
      </c>
      <c r="B410" s="22" t="s">
        <v>56</v>
      </c>
      <c r="C410" s="22" t="s">
        <v>124</v>
      </c>
      <c r="D410" s="23">
        <v>3</v>
      </c>
      <c r="E410" s="24">
        <f>SUM($D$2:D410)/SUM($D$2:$D$2846)</f>
        <v>0.74265080713678844</v>
      </c>
      <c r="F410" s="22" t="s">
        <v>46</v>
      </c>
      <c r="G410" s="25" t="s">
        <v>125</v>
      </c>
    </row>
    <row r="411" spans="1:7">
      <c r="A411" s="21" t="s">
        <v>544</v>
      </c>
      <c r="B411" s="22" t="s">
        <v>56</v>
      </c>
      <c r="C411" s="22" t="s">
        <v>124</v>
      </c>
      <c r="D411" s="23">
        <v>3</v>
      </c>
      <c r="E411" s="24">
        <f>SUM($D$2:D411)/SUM($D$2:$D$2846)</f>
        <v>0.74290569243840276</v>
      </c>
      <c r="F411" s="22" t="s">
        <v>46</v>
      </c>
      <c r="G411" s="25" t="s">
        <v>125</v>
      </c>
    </row>
    <row r="412" spans="1:7">
      <c r="A412" s="21" t="s">
        <v>545</v>
      </c>
      <c r="B412" s="22" t="s">
        <v>56</v>
      </c>
      <c r="C412" s="22" t="s">
        <v>124</v>
      </c>
      <c r="D412" s="23">
        <v>3</v>
      </c>
      <c r="E412" s="24">
        <f>SUM($D$2:D412)/SUM($D$2:$D$2846)</f>
        <v>0.74316057774001698</v>
      </c>
      <c r="F412" s="22" t="s">
        <v>46</v>
      </c>
      <c r="G412" s="25" t="s">
        <v>125</v>
      </c>
    </row>
    <row r="413" spans="1:7">
      <c r="A413" s="21" t="s">
        <v>546</v>
      </c>
      <c r="B413" s="22" t="s">
        <v>56</v>
      </c>
      <c r="C413" s="22" t="s">
        <v>124</v>
      </c>
      <c r="D413" s="23">
        <v>3</v>
      </c>
      <c r="E413" s="24">
        <f>SUM($D$2:D413)/SUM($D$2:$D$2846)</f>
        <v>0.74341546304163131</v>
      </c>
      <c r="F413" s="22" t="s">
        <v>46</v>
      </c>
      <c r="G413" s="25" t="s">
        <v>125</v>
      </c>
    </row>
    <row r="414" spans="1:7">
      <c r="A414" s="21" t="s">
        <v>547</v>
      </c>
      <c r="B414" s="22" t="s">
        <v>56</v>
      </c>
      <c r="C414" s="22" t="s">
        <v>124</v>
      </c>
      <c r="D414" s="23">
        <v>3</v>
      </c>
      <c r="E414" s="24">
        <f>SUM($D$2:D414)/SUM($D$2:$D$2846)</f>
        <v>0.74367034834324552</v>
      </c>
      <c r="F414" s="22" t="s">
        <v>46</v>
      </c>
      <c r="G414" s="25" t="s">
        <v>125</v>
      </c>
    </row>
    <row r="415" spans="1:7">
      <c r="A415" s="21" t="s">
        <v>548</v>
      </c>
      <c r="B415" s="22" t="s">
        <v>56</v>
      </c>
      <c r="C415" s="22" t="s">
        <v>124</v>
      </c>
      <c r="D415" s="23">
        <v>3</v>
      </c>
      <c r="E415" s="24">
        <f>SUM($D$2:D415)/SUM($D$2:$D$2846)</f>
        <v>0.74392523364485985</v>
      </c>
      <c r="F415" s="22" t="s">
        <v>46</v>
      </c>
      <c r="G415" s="25" t="s">
        <v>125</v>
      </c>
    </row>
    <row r="416" spans="1:7">
      <c r="A416" s="21" t="s">
        <v>549</v>
      </c>
      <c r="B416" s="22" t="s">
        <v>56</v>
      </c>
      <c r="C416" s="22" t="s">
        <v>124</v>
      </c>
      <c r="D416" s="23">
        <v>3</v>
      </c>
      <c r="E416" s="24">
        <f>SUM($D$2:D416)/SUM($D$2:$D$2846)</f>
        <v>0.74418011894647407</v>
      </c>
      <c r="F416" s="22" t="s">
        <v>46</v>
      </c>
      <c r="G416" s="25" t="s">
        <v>125</v>
      </c>
    </row>
    <row r="417" spans="1:7">
      <c r="A417" s="21" t="s">
        <v>550</v>
      </c>
      <c r="B417" s="22" t="s">
        <v>56</v>
      </c>
      <c r="C417" s="22" t="s">
        <v>124</v>
      </c>
      <c r="D417" s="23">
        <v>3</v>
      </c>
      <c r="E417" s="24">
        <f>SUM($D$2:D417)/SUM($D$2:$D$2846)</f>
        <v>0.74443500424808839</v>
      </c>
      <c r="F417" s="22" t="s">
        <v>46</v>
      </c>
      <c r="G417" s="25" t="s">
        <v>125</v>
      </c>
    </row>
    <row r="418" spans="1:7">
      <c r="A418" s="21" t="s">
        <v>551</v>
      </c>
      <c r="B418" s="22" t="s">
        <v>56</v>
      </c>
      <c r="C418" s="22" t="s">
        <v>124</v>
      </c>
      <c r="D418" s="23">
        <v>3</v>
      </c>
      <c r="E418" s="24">
        <f>SUM($D$2:D418)/SUM($D$2:$D$2846)</f>
        <v>0.74468988954970261</v>
      </c>
      <c r="F418" s="22" t="s">
        <v>46</v>
      </c>
      <c r="G418" s="25" t="s">
        <v>125</v>
      </c>
    </row>
    <row r="419" spans="1:7">
      <c r="A419" s="21" t="s">
        <v>552</v>
      </c>
      <c r="B419" s="22" t="s">
        <v>56</v>
      </c>
      <c r="C419" s="22" t="s">
        <v>124</v>
      </c>
      <c r="D419" s="23">
        <v>3</v>
      </c>
      <c r="E419" s="24">
        <f>SUM($D$2:D419)/SUM($D$2:$D$2846)</f>
        <v>0.74494477485131694</v>
      </c>
      <c r="F419" s="22" t="s">
        <v>46</v>
      </c>
      <c r="G419" s="25" t="s">
        <v>125</v>
      </c>
    </row>
    <row r="420" spans="1:7">
      <c r="A420" s="21" t="s">
        <v>553</v>
      </c>
      <c r="B420" s="22" t="s">
        <v>56</v>
      </c>
      <c r="C420" s="22" t="s">
        <v>124</v>
      </c>
      <c r="D420" s="23">
        <v>3</v>
      </c>
      <c r="E420" s="24">
        <f>SUM($D$2:D420)/SUM($D$2:$D$2846)</f>
        <v>0.74519966015293115</v>
      </c>
      <c r="F420" s="22" t="s">
        <v>46</v>
      </c>
      <c r="G420" s="25" t="s">
        <v>125</v>
      </c>
    </row>
    <row r="421" spans="1:7">
      <c r="A421" s="21" t="s">
        <v>554</v>
      </c>
      <c r="B421" s="22" t="s">
        <v>56</v>
      </c>
      <c r="C421" s="22" t="s">
        <v>124</v>
      </c>
      <c r="D421" s="23">
        <v>3</v>
      </c>
      <c r="E421" s="24">
        <f>SUM($D$2:D421)/SUM($D$2:$D$2846)</f>
        <v>0.74545454545454548</v>
      </c>
      <c r="F421" s="22" t="s">
        <v>46</v>
      </c>
      <c r="G421" s="25" t="s">
        <v>125</v>
      </c>
    </row>
    <row r="422" spans="1:7">
      <c r="A422" s="21" t="s">
        <v>555</v>
      </c>
      <c r="B422" s="22" t="s">
        <v>56</v>
      </c>
      <c r="C422" s="22" t="s">
        <v>124</v>
      </c>
      <c r="D422" s="23">
        <v>3</v>
      </c>
      <c r="E422" s="24">
        <f>SUM($D$2:D422)/SUM($D$2:$D$2846)</f>
        <v>0.7457094307561597</v>
      </c>
      <c r="F422" s="22" t="s">
        <v>46</v>
      </c>
      <c r="G422" s="25" t="s">
        <v>125</v>
      </c>
    </row>
    <row r="423" spans="1:7">
      <c r="A423" s="21" t="s">
        <v>556</v>
      </c>
      <c r="B423" s="22" t="s">
        <v>56</v>
      </c>
      <c r="C423" s="22" t="s">
        <v>124</v>
      </c>
      <c r="D423" s="23">
        <v>3</v>
      </c>
      <c r="E423" s="24">
        <f>SUM($D$2:D423)/SUM($D$2:$D$2846)</f>
        <v>0.74596431605777402</v>
      </c>
      <c r="F423" s="22" t="s">
        <v>46</v>
      </c>
      <c r="G423" s="25" t="s">
        <v>125</v>
      </c>
    </row>
    <row r="424" spans="1:7">
      <c r="A424" s="21" t="s">
        <v>557</v>
      </c>
      <c r="B424" s="26" t="s">
        <v>163</v>
      </c>
      <c r="C424" s="22" t="s">
        <v>45</v>
      </c>
      <c r="D424" s="23">
        <v>3</v>
      </c>
      <c r="E424" s="24">
        <f>SUM($D$2:D424)/SUM($D$2:$D$2846)</f>
        <v>0.74621920135938824</v>
      </c>
      <c r="F424" s="22" t="s">
        <v>46</v>
      </c>
      <c r="G424" s="25" t="s">
        <v>164</v>
      </c>
    </row>
    <row r="425" spans="1:7">
      <c r="A425" s="21" t="s">
        <v>558</v>
      </c>
      <c r="B425" s="22" t="s">
        <v>56</v>
      </c>
      <c r="C425" s="22" t="s">
        <v>124</v>
      </c>
      <c r="D425" s="23">
        <v>3</v>
      </c>
      <c r="E425" s="24">
        <f>SUM($D$2:D425)/SUM($D$2:$D$2846)</f>
        <v>0.74647408666100257</v>
      </c>
      <c r="F425" s="22" t="s">
        <v>46</v>
      </c>
      <c r="G425" s="25" t="s">
        <v>125</v>
      </c>
    </row>
    <row r="426" spans="1:7">
      <c r="A426" s="21" t="s">
        <v>559</v>
      </c>
      <c r="B426" s="22" t="s">
        <v>56</v>
      </c>
      <c r="C426" s="22" t="s">
        <v>124</v>
      </c>
      <c r="D426" s="23">
        <v>3</v>
      </c>
      <c r="E426" s="24">
        <f>SUM($D$2:D426)/SUM($D$2:$D$2846)</f>
        <v>0.74672897196261678</v>
      </c>
      <c r="F426" s="22" t="s">
        <v>46</v>
      </c>
      <c r="G426" s="25" t="s">
        <v>125</v>
      </c>
    </row>
    <row r="427" spans="1:7">
      <c r="A427" s="21" t="s">
        <v>560</v>
      </c>
      <c r="B427" s="26" t="s">
        <v>163</v>
      </c>
      <c r="C427" s="22" t="s">
        <v>45</v>
      </c>
      <c r="D427" s="23">
        <v>3</v>
      </c>
      <c r="E427" s="24">
        <f>SUM($D$2:D427)/SUM($D$2:$D$2846)</f>
        <v>0.74698385726423111</v>
      </c>
      <c r="F427" s="22" t="s">
        <v>46</v>
      </c>
      <c r="G427" s="25" t="s">
        <v>164</v>
      </c>
    </row>
    <row r="428" spans="1:7">
      <c r="A428" s="21" t="s">
        <v>561</v>
      </c>
      <c r="B428" s="22" t="s">
        <v>56</v>
      </c>
      <c r="C428" s="22" t="s">
        <v>124</v>
      </c>
      <c r="D428" s="23">
        <v>3</v>
      </c>
      <c r="E428" s="24">
        <f>SUM($D$2:D428)/SUM($D$2:$D$2846)</f>
        <v>0.74723874256584533</v>
      </c>
      <c r="F428" s="22" t="s">
        <v>46</v>
      </c>
      <c r="G428" s="25" t="s">
        <v>125</v>
      </c>
    </row>
    <row r="429" spans="1:7">
      <c r="A429" s="21" t="s">
        <v>562</v>
      </c>
      <c r="B429" s="22" t="s">
        <v>56</v>
      </c>
      <c r="C429" s="22" t="s">
        <v>124</v>
      </c>
      <c r="D429" s="23">
        <v>3</v>
      </c>
      <c r="E429" s="24">
        <f>SUM($D$2:D429)/SUM($D$2:$D$2846)</f>
        <v>0.74749362786745965</v>
      </c>
      <c r="F429" s="22" t="s">
        <v>46</v>
      </c>
      <c r="G429" s="25" t="s">
        <v>125</v>
      </c>
    </row>
    <row r="430" spans="1:7">
      <c r="A430" s="21" t="s">
        <v>563</v>
      </c>
      <c r="B430" s="22" t="s">
        <v>56</v>
      </c>
      <c r="C430" s="22" t="s">
        <v>124</v>
      </c>
      <c r="D430" s="23">
        <v>3</v>
      </c>
      <c r="E430" s="24">
        <f>SUM($D$2:D430)/SUM($D$2:$D$2846)</f>
        <v>0.74774851316907387</v>
      </c>
      <c r="F430" s="22" t="s">
        <v>46</v>
      </c>
      <c r="G430" s="25" t="s">
        <v>125</v>
      </c>
    </row>
    <row r="431" spans="1:7">
      <c r="A431" s="21" t="s">
        <v>564</v>
      </c>
      <c r="B431" s="22" t="s">
        <v>56</v>
      </c>
      <c r="C431" s="22" t="s">
        <v>124</v>
      </c>
      <c r="D431" s="23">
        <v>3</v>
      </c>
      <c r="E431" s="24">
        <f>SUM($D$2:D431)/SUM($D$2:$D$2846)</f>
        <v>0.7480033984706882</v>
      </c>
      <c r="F431" s="22" t="s">
        <v>46</v>
      </c>
      <c r="G431" s="25" t="s">
        <v>125</v>
      </c>
    </row>
    <row r="432" spans="1:7">
      <c r="A432" s="21" t="s">
        <v>565</v>
      </c>
      <c r="B432" s="26" t="s">
        <v>163</v>
      </c>
      <c r="C432" s="22" t="s">
        <v>45</v>
      </c>
      <c r="D432" s="23">
        <v>3</v>
      </c>
      <c r="E432" s="24">
        <f>SUM($D$2:D432)/SUM($D$2:$D$2846)</f>
        <v>0.74825828377230241</v>
      </c>
      <c r="F432" s="22" t="s">
        <v>46</v>
      </c>
      <c r="G432" s="25" t="s">
        <v>164</v>
      </c>
    </row>
    <row r="433" spans="1:7">
      <c r="A433" s="21" t="s">
        <v>566</v>
      </c>
      <c r="B433" s="22" t="s">
        <v>56</v>
      </c>
      <c r="C433" s="22" t="s">
        <v>124</v>
      </c>
      <c r="D433" s="23">
        <v>3</v>
      </c>
      <c r="E433" s="24">
        <f>SUM($D$2:D433)/SUM($D$2:$D$2846)</f>
        <v>0.74851316907391674</v>
      </c>
      <c r="F433" s="22" t="s">
        <v>46</v>
      </c>
      <c r="G433" s="25" t="s">
        <v>125</v>
      </c>
    </row>
    <row r="434" spans="1:7">
      <c r="A434" s="21" t="s">
        <v>567</v>
      </c>
      <c r="B434" s="26" t="s">
        <v>163</v>
      </c>
      <c r="C434" s="22" t="s">
        <v>45</v>
      </c>
      <c r="D434" s="23">
        <v>3</v>
      </c>
      <c r="E434" s="24">
        <f>SUM($D$2:D434)/SUM($D$2:$D$2846)</f>
        <v>0.74876805437553096</v>
      </c>
      <c r="F434" s="22" t="s">
        <v>53</v>
      </c>
      <c r="G434" s="25" t="s">
        <v>164</v>
      </c>
    </row>
    <row r="435" spans="1:7">
      <c r="A435" s="21" t="s">
        <v>568</v>
      </c>
      <c r="B435" s="22" t="s">
        <v>56</v>
      </c>
      <c r="C435" s="22" t="s">
        <v>124</v>
      </c>
      <c r="D435" s="23">
        <v>3</v>
      </c>
      <c r="E435" s="24">
        <f>SUM($D$2:D435)/SUM($D$2:$D$2846)</f>
        <v>0.74902293967714528</v>
      </c>
      <c r="F435" s="22" t="s">
        <v>53</v>
      </c>
      <c r="G435" s="25" t="s">
        <v>125</v>
      </c>
    </row>
    <row r="436" spans="1:7">
      <c r="A436" s="21" t="s">
        <v>569</v>
      </c>
      <c r="B436" s="22" t="s">
        <v>56</v>
      </c>
      <c r="C436" s="22" t="s">
        <v>124</v>
      </c>
      <c r="D436" s="23">
        <v>3</v>
      </c>
      <c r="E436" s="24">
        <f>SUM($D$2:D436)/SUM($D$2:$D$2846)</f>
        <v>0.74927782497875961</v>
      </c>
      <c r="F436" s="22" t="s">
        <v>53</v>
      </c>
      <c r="G436" s="25" t="s">
        <v>125</v>
      </c>
    </row>
    <row r="437" spans="1:7">
      <c r="A437" s="21" t="s">
        <v>570</v>
      </c>
      <c r="B437" s="22" t="s">
        <v>44</v>
      </c>
      <c r="C437" s="22" t="s">
        <v>124</v>
      </c>
      <c r="D437" s="23">
        <v>3</v>
      </c>
      <c r="E437" s="24">
        <f>SUM($D$2:D437)/SUM($D$2:$D$2846)</f>
        <v>0.74953271028037383</v>
      </c>
      <c r="F437" s="22" t="s">
        <v>53</v>
      </c>
      <c r="G437" s="25" t="s">
        <v>194</v>
      </c>
    </row>
    <row r="438" spans="1:7">
      <c r="A438" s="21" t="s">
        <v>571</v>
      </c>
      <c r="B438" s="22" t="s">
        <v>44</v>
      </c>
      <c r="C438" s="22" t="s">
        <v>124</v>
      </c>
      <c r="D438" s="23">
        <v>3</v>
      </c>
      <c r="E438" s="24">
        <f>SUM($D$2:D438)/SUM($D$2:$D$2846)</f>
        <v>0.74978759558198815</v>
      </c>
      <c r="F438" s="22" t="s">
        <v>53</v>
      </c>
      <c r="G438" s="25" t="s">
        <v>194</v>
      </c>
    </row>
    <row r="439" spans="1:7">
      <c r="A439" s="21" t="s">
        <v>572</v>
      </c>
      <c r="B439" s="22" t="s">
        <v>44</v>
      </c>
      <c r="C439" s="22" t="s">
        <v>124</v>
      </c>
      <c r="D439" s="23">
        <v>3</v>
      </c>
      <c r="E439" s="24">
        <f>SUM($D$2:D439)/SUM($D$2:$D$2846)</f>
        <v>0.75004248088360237</v>
      </c>
      <c r="F439" s="22" t="s">
        <v>53</v>
      </c>
      <c r="G439" s="25" t="s">
        <v>194</v>
      </c>
    </row>
    <row r="440" spans="1:7">
      <c r="A440" s="21" t="s">
        <v>573</v>
      </c>
      <c r="B440" s="22" t="s">
        <v>56</v>
      </c>
      <c r="C440" s="22" t="s">
        <v>124</v>
      </c>
      <c r="D440" s="23">
        <v>3</v>
      </c>
      <c r="E440" s="24">
        <f>SUM($D$2:D440)/SUM($D$2:$D$2846)</f>
        <v>0.7502973661852167</v>
      </c>
      <c r="F440" s="22" t="s">
        <v>53</v>
      </c>
      <c r="G440" s="25" t="s">
        <v>125</v>
      </c>
    </row>
    <row r="441" spans="1:7">
      <c r="A441" s="21" t="s">
        <v>574</v>
      </c>
      <c r="B441" s="26" t="s">
        <v>163</v>
      </c>
      <c r="C441" s="22" t="s">
        <v>45</v>
      </c>
      <c r="D441" s="23">
        <v>3</v>
      </c>
      <c r="E441" s="24">
        <f>SUM($D$2:D441)/SUM($D$2:$D$2846)</f>
        <v>0.75055225148683091</v>
      </c>
      <c r="F441" s="22" t="s">
        <v>53</v>
      </c>
      <c r="G441" s="25" t="s">
        <v>164</v>
      </c>
    </row>
    <row r="442" spans="1:7">
      <c r="A442" s="21" t="s">
        <v>575</v>
      </c>
      <c r="B442" s="22" t="s">
        <v>56</v>
      </c>
      <c r="C442" s="22" t="s">
        <v>124</v>
      </c>
      <c r="D442" s="23">
        <v>3</v>
      </c>
      <c r="E442" s="24">
        <f>SUM($D$2:D442)/SUM($D$2:$D$2846)</f>
        <v>0.75080713678844524</v>
      </c>
      <c r="F442" s="22" t="s">
        <v>53</v>
      </c>
      <c r="G442" s="25" t="s">
        <v>125</v>
      </c>
    </row>
    <row r="443" spans="1:7">
      <c r="A443" s="21" t="s">
        <v>576</v>
      </c>
      <c r="B443" s="22" t="s">
        <v>56</v>
      </c>
      <c r="C443" s="22" t="s">
        <v>124</v>
      </c>
      <c r="D443" s="23">
        <v>3</v>
      </c>
      <c r="E443" s="24">
        <f>SUM($D$2:D443)/SUM($D$2:$D$2846)</f>
        <v>0.75106202209005946</v>
      </c>
      <c r="F443" s="22" t="s">
        <v>53</v>
      </c>
      <c r="G443" s="25" t="s">
        <v>125</v>
      </c>
    </row>
    <row r="444" spans="1:7">
      <c r="A444" s="21" t="s">
        <v>577</v>
      </c>
      <c r="B444" s="22" t="s">
        <v>56</v>
      </c>
      <c r="C444" s="22" t="s">
        <v>124</v>
      </c>
      <c r="D444" s="23">
        <v>3</v>
      </c>
      <c r="E444" s="24">
        <f>SUM($D$2:D444)/SUM($D$2:$D$2846)</f>
        <v>0.75131690739167378</v>
      </c>
      <c r="F444" s="22" t="s">
        <v>53</v>
      </c>
      <c r="G444" s="25" t="s">
        <v>125</v>
      </c>
    </row>
    <row r="445" spans="1:7">
      <c r="A445" s="21" t="s">
        <v>578</v>
      </c>
      <c r="B445" s="22" t="s">
        <v>56</v>
      </c>
      <c r="C445" s="22" t="s">
        <v>124</v>
      </c>
      <c r="D445" s="23">
        <v>3</v>
      </c>
      <c r="E445" s="24">
        <f>SUM($D$2:D445)/SUM($D$2:$D$2846)</f>
        <v>0.751571792693288</v>
      </c>
      <c r="F445" s="22" t="s">
        <v>53</v>
      </c>
      <c r="G445" s="25" t="s">
        <v>125</v>
      </c>
    </row>
    <row r="446" spans="1:7">
      <c r="A446" s="21" t="s">
        <v>579</v>
      </c>
      <c r="B446" s="22" t="s">
        <v>56</v>
      </c>
      <c r="C446" s="22" t="s">
        <v>124</v>
      </c>
      <c r="D446" s="23">
        <v>3</v>
      </c>
      <c r="E446" s="24">
        <f>SUM($D$2:D446)/SUM($D$2:$D$2846)</f>
        <v>0.75182667799490233</v>
      </c>
      <c r="F446" s="22" t="s">
        <v>53</v>
      </c>
      <c r="G446" s="25" t="s">
        <v>125</v>
      </c>
    </row>
    <row r="447" spans="1:7">
      <c r="A447" s="21" t="s">
        <v>580</v>
      </c>
      <c r="B447" s="22" t="s">
        <v>56</v>
      </c>
      <c r="C447" s="22" t="s">
        <v>124</v>
      </c>
      <c r="D447" s="23">
        <v>3</v>
      </c>
      <c r="E447" s="24">
        <f>SUM($D$2:D447)/SUM($D$2:$D$2846)</f>
        <v>0.75208156329651654</v>
      </c>
      <c r="F447" s="22" t="s">
        <v>53</v>
      </c>
      <c r="G447" s="25" t="s">
        <v>125</v>
      </c>
    </row>
    <row r="448" spans="1:7">
      <c r="A448" s="21" t="s">
        <v>581</v>
      </c>
      <c r="B448" s="22" t="s">
        <v>56</v>
      </c>
      <c r="C448" s="22" t="s">
        <v>124</v>
      </c>
      <c r="D448" s="23">
        <v>3</v>
      </c>
      <c r="E448" s="24">
        <f>SUM($D$2:D448)/SUM($D$2:$D$2846)</f>
        <v>0.75233644859813087</v>
      </c>
      <c r="F448" s="22" t="s">
        <v>53</v>
      </c>
      <c r="G448" s="25" t="s">
        <v>125</v>
      </c>
    </row>
    <row r="449" spans="1:7">
      <c r="A449" s="21" t="s">
        <v>582</v>
      </c>
      <c r="B449" s="22" t="s">
        <v>56</v>
      </c>
      <c r="C449" s="22" t="s">
        <v>124</v>
      </c>
      <c r="D449" s="23">
        <v>3</v>
      </c>
      <c r="E449" s="24">
        <f>SUM($D$2:D449)/SUM($D$2:$D$2846)</f>
        <v>0.75259133389974509</v>
      </c>
      <c r="F449" s="22" t="s">
        <v>53</v>
      </c>
      <c r="G449" s="25" t="s">
        <v>125</v>
      </c>
    </row>
    <row r="450" spans="1:7">
      <c r="A450" s="21" t="s">
        <v>583</v>
      </c>
      <c r="B450" s="22" t="s">
        <v>56</v>
      </c>
      <c r="C450" s="22" t="s">
        <v>124</v>
      </c>
      <c r="D450" s="23">
        <v>3</v>
      </c>
      <c r="E450" s="24">
        <f>SUM($D$2:D450)/SUM($D$2:$D$2846)</f>
        <v>0.75284621920135941</v>
      </c>
      <c r="F450" s="22" t="s">
        <v>53</v>
      </c>
      <c r="G450" s="25" t="s">
        <v>125</v>
      </c>
    </row>
    <row r="451" spans="1:7">
      <c r="A451" s="21" t="s">
        <v>55</v>
      </c>
      <c r="B451" s="26" t="s">
        <v>44</v>
      </c>
      <c r="C451" s="22" t="s">
        <v>45</v>
      </c>
      <c r="D451" s="23">
        <v>3</v>
      </c>
      <c r="E451" s="24">
        <f>SUM($D$2:D451)/SUM($D$2:$D$2846)</f>
        <v>0.75310110450297363</v>
      </c>
      <c r="F451" s="22" t="s">
        <v>53</v>
      </c>
      <c r="G451" s="25" t="s">
        <v>57</v>
      </c>
    </row>
    <row r="452" spans="1:7">
      <c r="A452" s="21" t="s">
        <v>584</v>
      </c>
      <c r="B452" s="22" t="s">
        <v>56</v>
      </c>
      <c r="C452" s="22" t="s">
        <v>124</v>
      </c>
      <c r="D452" s="23">
        <v>3</v>
      </c>
      <c r="E452" s="24">
        <f>SUM($D$2:D452)/SUM($D$2:$D$2846)</f>
        <v>0.75335598980458796</v>
      </c>
      <c r="F452" s="22" t="s">
        <v>53</v>
      </c>
      <c r="G452" s="25" t="s">
        <v>125</v>
      </c>
    </row>
    <row r="453" spans="1:7">
      <c r="A453" s="21" t="s">
        <v>585</v>
      </c>
      <c r="B453" s="22" t="s">
        <v>56</v>
      </c>
      <c r="C453" s="22" t="s">
        <v>124</v>
      </c>
      <c r="D453" s="23">
        <v>3</v>
      </c>
      <c r="E453" s="24">
        <f>SUM($D$2:D453)/SUM($D$2:$D$2846)</f>
        <v>0.75361087510620217</v>
      </c>
      <c r="F453" s="22" t="s">
        <v>53</v>
      </c>
      <c r="G453" s="25" t="s">
        <v>125</v>
      </c>
    </row>
    <row r="454" spans="1:7">
      <c r="A454" s="21" t="s">
        <v>586</v>
      </c>
      <c r="B454" s="26" t="s">
        <v>163</v>
      </c>
      <c r="C454" s="22" t="s">
        <v>45</v>
      </c>
      <c r="D454" s="23">
        <v>3</v>
      </c>
      <c r="E454" s="24">
        <f>SUM($D$2:D454)/SUM($D$2:$D$2846)</f>
        <v>0.7538657604078165</v>
      </c>
      <c r="F454" s="22" t="s">
        <v>53</v>
      </c>
      <c r="G454" s="25" t="s">
        <v>164</v>
      </c>
    </row>
    <row r="455" spans="1:7">
      <c r="A455" s="21" t="s">
        <v>587</v>
      </c>
      <c r="B455" s="22" t="s">
        <v>56</v>
      </c>
      <c r="C455" s="22" t="s">
        <v>124</v>
      </c>
      <c r="D455" s="23">
        <v>3</v>
      </c>
      <c r="E455" s="24">
        <f>SUM($D$2:D455)/SUM($D$2:$D$2846)</f>
        <v>0.75412064570943071</v>
      </c>
      <c r="F455" s="22" t="s">
        <v>53</v>
      </c>
      <c r="G455" s="25" t="s">
        <v>125</v>
      </c>
    </row>
    <row r="456" spans="1:7">
      <c r="A456" s="21" t="s">
        <v>588</v>
      </c>
      <c r="B456" s="22" t="s">
        <v>56</v>
      </c>
      <c r="C456" s="22" t="s">
        <v>124</v>
      </c>
      <c r="D456" s="23">
        <v>3</v>
      </c>
      <c r="E456" s="24">
        <f>SUM($D$2:D456)/SUM($D$2:$D$2846)</f>
        <v>0.75437553101104504</v>
      </c>
      <c r="F456" s="22" t="s">
        <v>53</v>
      </c>
      <c r="G456" s="25" t="s">
        <v>125</v>
      </c>
    </row>
    <row r="457" spans="1:7">
      <c r="A457" s="21" t="s">
        <v>589</v>
      </c>
      <c r="B457" s="22" t="s">
        <v>56</v>
      </c>
      <c r="C457" s="22" t="s">
        <v>124</v>
      </c>
      <c r="D457" s="23">
        <v>3</v>
      </c>
      <c r="E457" s="24">
        <f>SUM($D$2:D457)/SUM($D$2:$D$2846)</f>
        <v>0.75463041631265926</v>
      </c>
      <c r="F457" s="22" t="s">
        <v>53</v>
      </c>
      <c r="G457" s="25" t="s">
        <v>125</v>
      </c>
    </row>
    <row r="458" spans="1:7">
      <c r="A458" s="21" t="s">
        <v>590</v>
      </c>
      <c r="B458" s="22" t="s">
        <v>56</v>
      </c>
      <c r="C458" s="22" t="s">
        <v>124</v>
      </c>
      <c r="D458" s="23">
        <v>3</v>
      </c>
      <c r="E458" s="24">
        <f>SUM($D$2:D458)/SUM($D$2:$D$2846)</f>
        <v>0.75488530161427359</v>
      </c>
      <c r="F458" s="22" t="s">
        <v>53</v>
      </c>
      <c r="G458" s="25" t="s">
        <v>125</v>
      </c>
    </row>
    <row r="459" spans="1:7">
      <c r="A459" s="21" t="s">
        <v>591</v>
      </c>
      <c r="B459" s="22" t="s">
        <v>56</v>
      </c>
      <c r="C459" s="22" t="s">
        <v>124</v>
      </c>
      <c r="D459" s="23">
        <v>3</v>
      </c>
      <c r="E459" s="24">
        <f>SUM($D$2:D459)/SUM($D$2:$D$2846)</f>
        <v>0.7551401869158878</v>
      </c>
      <c r="F459" s="22" t="s">
        <v>53</v>
      </c>
      <c r="G459" s="25" t="s">
        <v>125</v>
      </c>
    </row>
    <row r="460" spans="1:7">
      <c r="A460" s="21" t="s">
        <v>592</v>
      </c>
      <c r="B460" s="22" t="s">
        <v>56</v>
      </c>
      <c r="C460" s="22" t="s">
        <v>124</v>
      </c>
      <c r="D460" s="23">
        <v>3</v>
      </c>
      <c r="E460" s="24">
        <f>SUM($D$2:D460)/SUM($D$2:$D$2846)</f>
        <v>0.75539507221750213</v>
      </c>
      <c r="F460" s="22" t="s">
        <v>53</v>
      </c>
      <c r="G460" s="25" t="s">
        <v>125</v>
      </c>
    </row>
    <row r="461" spans="1:7">
      <c r="A461" s="21" t="s">
        <v>593</v>
      </c>
      <c r="B461" s="22" t="s">
        <v>56</v>
      </c>
      <c r="C461" s="22" t="s">
        <v>124</v>
      </c>
      <c r="D461" s="23">
        <v>3</v>
      </c>
      <c r="E461" s="24">
        <f>SUM($D$2:D461)/SUM($D$2:$D$2846)</f>
        <v>0.75564995751911634</v>
      </c>
      <c r="F461" s="22" t="s">
        <v>53</v>
      </c>
      <c r="G461" s="25" t="s">
        <v>125</v>
      </c>
    </row>
    <row r="462" spans="1:7">
      <c r="A462" s="21" t="s">
        <v>594</v>
      </c>
      <c r="B462" s="22" t="s">
        <v>56</v>
      </c>
      <c r="C462" s="22" t="s">
        <v>124</v>
      </c>
      <c r="D462" s="23">
        <v>3</v>
      </c>
      <c r="E462" s="24">
        <f>SUM($D$2:D462)/SUM($D$2:$D$2846)</f>
        <v>0.75590484282073067</v>
      </c>
      <c r="F462" s="22" t="s">
        <v>53</v>
      </c>
      <c r="G462" s="25" t="s">
        <v>125</v>
      </c>
    </row>
    <row r="463" spans="1:7">
      <c r="A463" s="21" t="s">
        <v>595</v>
      </c>
      <c r="B463" s="22" t="s">
        <v>56</v>
      </c>
      <c r="C463" s="22" t="s">
        <v>124</v>
      </c>
      <c r="D463" s="23">
        <v>3</v>
      </c>
      <c r="E463" s="24">
        <f>SUM($D$2:D463)/SUM($D$2:$D$2846)</f>
        <v>0.756159728122345</v>
      </c>
      <c r="F463" s="22" t="s">
        <v>53</v>
      </c>
      <c r="G463" s="25" t="s">
        <v>125</v>
      </c>
    </row>
    <row r="464" spans="1:7">
      <c r="A464" s="21" t="s">
        <v>596</v>
      </c>
      <c r="B464" s="22" t="s">
        <v>56</v>
      </c>
      <c r="C464" s="22" t="s">
        <v>124</v>
      </c>
      <c r="D464" s="23">
        <v>3</v>
      </c>
      <c r="E464" s="24">
        <f>SUM($D$2:D464)/SUM($D$2:$D$2846)</f>
        <v>0.75641461342395921</v>
      </c>
      <c r="F464" s="22" t="s">
        <v>53</v>
      </c>
      <c r="G464" s="25" t="s">
        <v>125</v>
      </c>
    </row>
    <row r="465" spans="1:7">
      <c r="A465" s="21" t="s">
        <v>597</v>
      </c>
      <c r="B465" s="22" t="s">
        <v>56</v>
      </c>
      <c r="C465" s="22" t="s">
        <v>124</v>
      </c>
      <c r="D465" s="23">
        <v>3</v>
      </c>
      <c r="E465" s="24">
        <f>SUM($D$2:D465)/SUM($D$2:$D$2846)</f>
        <v>0.75666949872557354</v>
      </c>
      <c r="F465" s="22" t="s">
        <v>53</v>
      </c>
      <c r="G465" s="25" t="s">
        <v>125</v>
      </c>
    </row>
    <row r="466" spans="1:7">
      <c r="A466" s="21" t="s">
        <v>598</v>
      </c>
      <c r="B466" s="22" t="s">
        <v>56</v>
      </c>
      <c r="C466" s="22" t="s">
        <v>124</v>
      </c>
      <c r="D466" s="23">
        <v>3</v>
      </c>
      <c r="E466" s="24">
        <f>SUM($D$2:D466)/SUM($D$2:$D$2846)</f>
        <v>0.75692438402718776</v>
      </c>
      <c r="F466" s="22" t="s">
        <v>53</v>
      </c>
      <c r="G466" s="25" t="s">
        <v>125</v>
      </c>
    </row>
    <row r="467" spans="1:7">
      <c r="A467" s="21" t="s">
        <v>599</v>
      </c>
      <c r="B467" s="22" t="s">
        <v>56</v>
      </c>
      <c r="C467" s="22" t="s">
        <v>124</v>
      </c>
      <c r="D467" s="23">
        <v>3</v>
      </c>
      <c r="E467" s="24">
        <f>SUM($D$2:D467)/SUM($D$2:$D$2846)</f>
        <v>0.75717926932880208</v>
      </c>
      <c r="F467" s="22" t="s">
        <v>53</v>
      </c>
      <c r="G467" s="25" t="s">
        <v>125</v>
      </c>
    </row>
    <row r="468" spans="1:7">
      <c r="A468" s="21" t="s">
        <v>600</v>
      </c>
      <c r="B468" s="22" t="s">
        <v>44</v>
      </c>
      <c r="C468" s="22" t="s">
        <v>124</v>
      </c>
      <c r="D468" s="23">
        <v>3</v>
      </c>
      <c r="E468" s="24">
        <f>SUM($D$2:D468)/SUM($D$2:$D$2846)</f>
        <v>0.7574341546304163</v>
      </c>
      <c r="F468" s="22" t="s">
        <v>53</v>
      </c>
      <c r="G468" s="25" t="s">
        <v>194</v>
      </c>
    </row>
    <row r="469" spans="1:7">
      <c r="A469" s="21" t="s">
        <v>601</v>
      </c>
      <c r="B469" s="22" t="s">
        <v>56</v>
      </c>
      <c r="C469" s="22" t="s">
        <v>124</v>
      </c>
      <c r="D469" s="23">
        <v>3</v>
      </c>
      <c r="E469" s="24">
        <f>SUM($D$2:D469)/SUM($D$2:$D$2846)</f>
        <v>0.75768903993203063</v>
      </c>
      <c r="F469" s="22" t="s">
        <v>53</v>
      </c>
      <c r="G469" s="25" t="s">
        <v>125</v>
      </c>
    </row>
    <row r="470" spans="1:7">
      <c r="A470" s="21" t="s">
        <v>602</v>
      </c>
      <c r="B470" s="22" t="s">
        <v>56</v>
      </c>
      <c r="C470" s="22" t="s">
        <v>124</v>
      </c>
      <c r="D470" s="23">
        <v>3</v>
      </c>
      <c r="E470" s="24">
        <f>SUM($D$2:D470)/SUM($D$2:$D$2846)</f>
        <v>0.75794392523364484</v>
      </c>
      <c r="F470" s="22" t="s">
        <v>53</v>
      </c>
      <c r="G470" s="25" t="s">
        <v>125</v>
      </c>
    </row>
    <row r="471" spans="1:7">
      <c r="A471" s="21" t="s">
        <v>603</v>
      </c>
      <c r="B471" s="22" t="s">
        <v>56</v>
      </c>
      <c r="C471" s="22" t="s">
        <v>124</v>
      </c>
      <c r="D471" s="23">
        <v>3</v>
      </c>
      <c r="E471" s="24">
        <f>SUM($D$2:D471)/SUM($D$2:$D$2846)</f>
        <v>0.75819881053525917</v>
      </c>
      <c r="F471" s="22" t="s">
        <v>53</v>
      </c>
      <c r="G471" s="25" t="s">
        <v>125</v>
      </c>
    </row>
    <row r="472" spans="1:7">
      <c r="A472" s="21" t="s">
        <v>604</v>
      </c>
      <c r="B472" s="26" t="s">
        <v>163</v>
      </c>
      <c r="C472" s="22" t="s">
        <v>45</v>
      </c>
      <c r="D472" s="23">
        <v>3</v>
      </c>
      <c r="E472" s="24">
        <f>SUM($D$2:D472)/SUM($D$2:$D$2846)</f>
        <v>0.75845369583687339</v>
      </c>
      <c r="F472" s="22" t="s">
        <v>53</v>
      </c>
      <c r="G472" s="25" t="s">
        <v>164</v>
      </c>
    </row>
    <row r="473" spans="1:7">
      <c r="A473" s="21" t="s">
        <v>605</v>
      </c>
      <c r="B473" s="26" t="s">
        <v>163</v>
      </c>
      <c r="C473" s="22" t="s">
        <v>45</v>
      </c>
      <c r="D473" s="23">
        <v>3</v>
      </c>
      <c r="E473" s="24">
        <f>SUM($D$2:D473)/SUM($D$2:$D$2846)</f>
        <v>0.75870858113848771</v>
      </c>
      <c r="F473" s="22" t="s">
        <v>53</v>
      </c>
      <c r="G473" s="25" t="s">
        <v>164</v>
      </c>
    </row>
    <row r="474" spans="1:7">
      <c r="A474" s="21" t="s">
        <v>606</v>
      </c>
      <c r="B474" s="22" t="s">
        <v>56</v>
      </c>
      <c r="C474" s="22" t="s">
        <v>124</v>
      </c>
      <c r="D474" s="23">
        <v>3</v>
      </c>
      <c r="E474" s="24">
        <f>SUM($D$2:D474)/SUM($D$2:$D$2846)</f>
        <v>0.75896346644010193</v>
      </c>
      <c r="F474" s="22" t="s">
        <v>53</v>
      </c>
      <c r="G474" s="25" t="s">
        <v>125</v>
      </c>
    </row>
    <row r="475" spans="1:7">
      <c r="A475" s="21" t="s">
        <v>607</v>
      </c>
      <c r="B475" s="22" t="s">
        <v>56</v>
      </c>
      <c r="C475" s="22" t="s">
        <v>124</v>
      </c>
      <c r="D475" s="23">
        <v>3</v>
      </c>
      <c r="E475" s="24">
        <f>SUM($D$2:D475)/SUM($D$2:$D$2846)</f>
        <v>0.75921835174171626</v>
      </c>
      <c r="F475" s="22" t="s">
        <v>53</v>
      </c>
      <c r="G475" s="25" t="s">
        <v>125</v>
      </c>
    </row>
    <row r="476" spans="1:7">
      <c r="A476" s="21" t="s">
        <v>608</v>
      </c>
      <c r="B476" s="26" t="s">
        <v>163</v>
      </c>
      <c r="C476" s="22" t="s">
        <v>45</v>
      </c>
      <c r="D476" s="23">
        <v>3</v>
      </c>
      <c r="E476" s="24">
        <f>SUM($D$2:D476)/SUM($D$2:$D$2846)</f>
        <v>0.75947323704333047</v>
      </c>
      <c r="F476" s="22" t="s">
        <v>53</v>
      </c>
      <c r="G476" s="25" t="s">
        <v>164</v>
      </c>
    </row>
    <row r="477" spans="1:7">
      <c r="A477" s="21" t="s">
        <v>609</v>
      </c>
      <c r="B477" s="22" t="s">
        <v>56</v>
      </c>
      <c r="C477" s="22" t="s">
        <v>124</v>
      </c>
      <c r="D477" s="23">
        <v>3</v>
      </c>
      <c r="E477" s="24">
        <f>SUM($D$2:D477)/SUM($D$2:$D$2846)</f>
        <v>0.7597281223449448</v>
      </c>
      <c r="F477" s="22" t="s">
        <v>53</v>
      </c>
      <c r="G477" s="25" t="s">
        <v>125</v>
      </c>
    </row>
    <row r="478" spans="1:7">
      <c r="A478" s="21" t="s">
        <v>610</v>
      </c>
      <c r="B478" s="22" t="s">
        <v>56</v>
      </c>
      <c r="C478" s="22" t="s">
        <v>124</v>
      </c>
      <c r="D478" s="23">
        <v>3</v>
      </c>
      <c r="E478" s="24">
        <f>SUM($D$2:D478)/SUM($D$2:$D$2846)</f>
        <v>0.75998300764655902</v>
      </c>
      <c r="F478" s="22" t="s">
        <v>53</v>
      </c>
      <c r="G478" s="25" t="s">
        <v>125</v>
      </c>
    </row>
    <row r="479" spans="1:7">
      <c r="A479" s="21" t="s">
        <v>611</v>
      </c>
      <c r="B479" s="26" t="s">
        <v>163</v>
      </c>
      <c r="C479" s="22" t="s">
        <v>45</v>
      </c>
      <c r="D479" s="23">
        <v>3</v>
      </c>
      <c r="E479" s="24">
        <f>SUM($D$2:D479)/SUM($D$2:$D$2846)</f>
        <v>0.76023789294817334</v>
      </c>
      <c r="F479" s="22" t="s">
        <v>53</v>
      </c>
      <c r="G479" s="25" t="s">
        <v>164</v>
      </c>
    </row>
    <row r="480" spans="1:7">
      <c r="A480" s="21" t="s">
        <v>612</v>
      </c>
      <c r="B480" s="22" t="s">
        <v>56</v>
      </c>
      <c r="C480" s="22" t="s">
        <v>124</v>
      </c>
      <c r="D480" s="23">
        <v>3</v>
      </c>
      <c r="E480" s="24">
        <f>SUM($D$2:D480)/SUM($D$2:$D$2846)</f>
        <v>0.76049277824978756</v>
      </c>
      <c r="F480" s="22" t="s">
        <v>53</v>
      </c>
      <c r="G480" s="25" t="s">
        <v>125</v>
      </c>
    </row>
    <row r="481" spans="1:7">
      <c r="A481" s="21" t="s">
        <v>613</v>
      </c>
      <c r="B481" s="22" t="s">
        <v>56</v>
      </c>
      <c r="C481" s="22" t="s">
        <v>124</v>
      </c>
      <c r="D481" s="23">
        <v>3</v>
      </c>
      <c r="E481" s="24">
        <f>SUM($D$2:D481)/SUM($D$2:$D$2846)</f>
        <v>0.76074766355140189</v>
      </c>
      <c r="F481" s="22" t="s">
        <v>53</v>
      </c>
      <c r="G481" s="25" t="s">
        <v>125</v>
      </c>
    </row>
    <row r="482" spans="1:7">
      <c r="A482" s="21" t="s">
        <v>614</v>
      </c>
      <c r="B482" s="22" t="s">
        <v>56</v>
      </c>
      <c r="C482" s="22" t="s">
        <v>124</v>
      </c>
      <c r="D482" s="23">
        <v>3</v>
      </c>
      <c r="E482" s="24">
        <f>SUM($D$2:D482)/SUM($D$2:$D$2846)</f>
        <v>0.7610025488530161</v>
      </c>
      <c r="F482" s="22" t="s">
        <v>53</v>
      </c>
      <c r="G482" s="25" t="s">
        <v>125</v>
      </c>
    </row>
    <row r="483" spans="1:7">
      <c r="A483" s="21" t="s">
        <v>615</v>
      </c>
      <c r="B483" s="22" t="s">
        <v>56</v>
      </c>
      <c r="C483" s="22" t="s">
        <v>124</v>
      </c>
      <c r="D483" s="23">
        <v>3</v>
      </c>
      <c r="E483" s="24">
        <f>SUM($D$2:D483)/SUM($D$2:$D$2846)</f>
        <v>0.76125743415463043</v>
      </c>
      <c r="F483" s="22" t="s">
        <v>53</v>
      </c>
      <c r="G483" s="25" t="s">
        <v>125</v>
      </c>
    </row>
    <row r="484" spans="1:7">
      <c r="A484" s="21" t="s">
        <v>616</v>
      </c>
      <c r="B484" s="22" t="s">
        <v>56</v>
      </c>
      <c r="C484" s="22" t="s">
        <v>124</v>
      </c>
      <c r="D484" s="23">
        <v>3</v>
      </c>
      <c r="E484" s="24">
        <f>SUM($D$2:D484)/SUM($D$2:$D$2846)</f>
        <v>0.76151231945624465</v>
      </c>
      <c r="F484" s="22" t="s">
        <v>53</v>
      </c>
      <c r="G484" s="25" t="s">
        <v>125</v>
      </c>
    </row>
    <row r="485" spans="1:7">
      <c r="A485" s="21" t="s">
        <v>617</v>
      </c>
      <c r="B485" s="22" t="s">
        <v>56</v>
      </c>
      <c r="C485" s="22" t="s">
        <v>124</v>
      </c>
      <c r="D485" s="23">
        <v>3</v>
      </c>
      <c r="E485" s="24">
        <f>SUM($D$2:D485)/SUM($D$2:$D$2846)</f>
        <v>0.76176720475785897</v>
      </c>
      <c r="F485" s="22" t="s">
        <v>53</v>
      </c>
      <c r="G485" s="25" t="s">
        <v>125</v>
      </c>
    </row>
    <row r="486" spans="1:7">
      <c r="A486" s="21" t="s">
        <v>618</v>
      </c>
      <c r="B486" s="22" t="s">
        <v>56</v>
      </c>
      <c r="C486" s="22" t="s">
        <v>124</v>
      </c>
      <c r="D486" s="23">
        <v>3</v>
      </c>
      <c r="E486" s="24">
        <f>SUM($D$2:D486)/SUM($D$2:$D$2846)</f>
        <v>0.76202209005947319</v>
      </c>
      <c r="F486" s="22" t="s">
        <v>53</v>
      </c>
      <c r="G486" s="25" t="s">
        <v>125</v>
      </c>
    </row>
    <row r="487" spans="1:7">
      <c r="A487" s="21" t="s">
        <v>619</v>
      </c>
      <c r="B487" s="22" t="s">
        <v>56</v>
      </c>
      <c r="C487" s="22" t="s">
        <v>124</v>
      </c>
      <c r="D487" s="23">
        <v>3</v>
      </c>
      <c r="E487" s="24">
        <f>SUM($D$2:D487)/SUM($D$2:$D$2846)</f>
        <v>0.76227697536108752</v>
      </c>
      <c r="F487" s="22" t="s">
        <v>53</v>
      </c>
      <c r="G487" s="25" t="s">
        <v>125</v>
      </c>
    </row>
    <row r="488" spans="1:7">
      <c r="A488" s="21" t="s">
        <v>620</v>
      </c>
      <c r="B488" s="22" t="s">
        <v>56</v>
      </c>
      <c r="C488" s="22" t="s">
        <v>124</v>
      </c>
      <c r="D488" s="23">
        <v>3</v>
      </c>
      <c r="E488" s="24">
        <f>SUM($D$2:D488)/SUM($D$2:$D$2846)</f>
        <v>0.76253186066270173</v>
      </c>
      <c r="F488" s="22" t="s">
        <v>53</v>
      </c>
      <c r="G488" s="25" t="s">
        <v>125</v>
      </c>
    </row>
    <row r="489" spans="1:7">
      <c r="A489" s="21" t="s">
        <v>621</v>
      </c>
      <c r="B489" s="22" t="s">
        <v>56</v>
      </c>
      <c r="C489" s="22" t="s">
        <v>124</v>
      </c>
      <c r="D489" s="23">
        <v>3</v>
      </c>
      <c r="E489" s="24">
        <f>SUM($D$2:D489)/SUM($D$2:$D$2846)</f>
        <v>0.76278674596431606</v>
      </c>
      <c r="F489" s="22" t="s">
        <v>53</v>
      </c>
      <c r="G489" s="25" t="s">
        <v>125</v>
      </c>
    </row>
    <row r="490" spans="1:7">
      <c r="A490" s="21" t="s">
        <v>622</v>
      </c>
      <c r="B490" s="22" t="s">
        <v>56</v>
      </c>
      <c r="C490" s="22" t="s">
        <v>124</v>
      </c>
      <c r="D490" s="23">
        <v>3</v>
      </c>
      <c r="E490" s="24">
        <f>SUM($D$2:D490)/SUM($D$2:$D$2846)</f>
        <v>0.76304163126593039</v>
      </c>
      <c r="F490" s="22" t="s">
        <v>53</v>
      </c>
      <c r="G490" s="25" t="s">
        <v>125</v>
      </c>
    </row>
    <row r="491" spans="1:7">
      <c r="A491" s="21" t="s">
        <v>623</v>
      </c>
      <c r="B491" s="22" t="s">
        <v>56</v>
      </c>
      <c r="C491" s="22" t="s">
        <v>124</v>
      </c>
      <c r="D491" s="23">
        <v>3</v>
      </c>
      <c r="E491" s="24">
        <f>SUM($D$2:D491)/SUM($D$2:$D$2846)</f>
        <v>0.7632965165675446</v>
      </c>
      <c r="F491" s="22" t="s">
        <v>53</v>
      </c>
      <c r="G491" s="25" t="s">
        <v>125</v>
      </c>
    </row>
    <row r="492" spans="1:7">
      <c r="A492" s="21" t="s">
        <v>624</v>
      </c>
      <c r="B492" s="22" t="s">
        <v>56</v>
      </c>
      <c r="C492" s="22" t="s">
        <v>124</v>
      </c>
      <c r="D492" s="23">
        <v>3</v>
      </c>
      <c r="E492" s="24">
        <f>SUM($D$2:D492)/SUM($D$2:$D$2846)</f>
        <v>0.76355140186915893</v>
      </c>
      <c r="F492" s="22" t="s">
        <v>53</v>
      </c>
      <c r="G492" s="25" t="s">
        <v>125</v>
      </c>
    </row>
    <row r="493" spans="1:7">
      <c r="A493" s="21" t="s">
        <v>625</v>
      </c>
      <c r="B493" s="22" t="s">
        <v>56</v>
      </c>
      <c r="C493" s="22" t="s">
        <v>124</v>
      </c>
      <c r="D493" s="23">
        <v>3</v>
      </c>
      <c r="E493" s="24">
        <f>SUM($D$2:D493)/SUM($D$2:$D$2846)</f>
        <v>0.76380628717077315</v>
      </c>
      <c r="F493" s="22" t="s">
        <v>53</v>
      </c>
      <c r="G493" s="25" t="s">
        <v>125</v>
      </c>
    </row>
    <row r="494" spans="1:7">
      <c r="A494" s="21" t="s">
        <v>626</v>
      </c>
      <c r="B494" s="22" t="s">
        <v>56</v>
      </c>
      <c r="C494" s="22" t="s">
        <v>124</v>
      </c>
      <c r="D494" s="23">
        <v>3</v>
      </c>
      <c r="E494" s="24">
        <f>SUM($D$2:D494)/SUM($D$2:$D$2846)</f>
        <v>0.76406117247238747</v>
      </c>
      <c r="F494" s="22" t="s">
        <v>53</v>
      </c>
      <c r="G494" s="25" t="s">
        <v>125</v>
      </c>
    </row>
    <row r="495" spans="1:7">
      <c r="A495" s="21" t="s">
        <v>627</v>
      </c>
      <c r="B495" s="22" t="s">
        <v>56</v>
      </c>
      <c r="C495" s="22" t="s">
        <v>124</v>
      </c>
      <c r="D495" s="23">
        <v>3</v>
      </c>
      <c r="E495" s="24">
        <f>SUM($D$2:D495)/SUM($D$2:$D$2846)</f>
        <v>0.76431605777400169</v>
      </c>
      <c r="F495" s="22" t="s">
        <v>53</v>
      </c>
      <c r="G495" s="25" t="s">
        <v>125</v>
      </c>
    </row>
    <row r="496" spans="1:7">
      <c r="A496" s="21" t="s">
        <v>628</v>
      </c>
      <c r="B496" s="22" t="s">
        <v>56</v>
      </c>
      <c r="C496" s="22" t="s">
        <v>124</v>
      </c>
      <c r="D496" s="23">
        <v>3</v>
      </c>
      <c r="E496" s="24">
        <f>SUM($D$2:D496)/SUM($D$2:$D$2846)</f>
        <v>0.76457094307561602</v>
      </c>
      <c r="F496" s="22" t="s">
        <v>53</v>
      </c>
      <c r="G496" s="25" t="s">
        <v>125</v>
      </c>
    </row>
    <row r="497" spans="1:7">
      <c r="A497" s="21" t="s">
        <v>629</v>
      </c>
      <c r="B497" s="22" t="s">
        <v>56</v>
      </c>
      <c r="C497" s="22" t="s">
        <v>124</v>
      </c>
      <c r="D497" s="23">
        <v>3</v>
      </c>
      <c r="E497" s="24">
        <f>SUM($D$2:D497)/SUM($D$2:$D$2846)</f>
        <v>0.76482582837723023</v>
      </c>
      <c r="F497" s="22" t="s">
        <v>53</v>
      </c>
      <c r="G497" s="25" t="s">
        <v>125</v>
      </c>
    </row>
    <row r="498" spans="1:7">
      <c r="A498" s="21" t="s">
        <v>630</v>
      </c>
      <c r="B498" s="22" t="s">
        <v>56</v>
      </c>
      <c r="C498" s="22" t="s">
        <v>124</v>
      </c>
      <c r="D498" s="23">
        <v>3</v>
      </c>
      <c r="E498" s="24">
        <f>SUM($D$2:D498)/SUM($D$2:$D$2846)</f>
        <v>0.76508071367884456</v>
      </c>
      <c r="F498" s="22" t="s">
        <v>53</v>
      </c>
      <c r="G498" s="25" t="s">
        <v>125</v>
      </c>
    </row>
    <row r="499" spans="1:7">
      <c r="A499" s="21" t="s">
        <v>631</v>
      </c>
      <c r="B499" s="22" t="s">
        <v>56</v>
      </c>
      <c r="C499" s="22" t="s">
        <v>124</v>
      </c>
      <c r="D499" s="23">
        <v>3</v>
      </c>
      <c r="E499" s="24">
        <f>SUM($D$2:D499)/SUM($D$2:$D$2846)</f>
        <v>0.76533559898045878</v>
      </c>
      <c r="F499" s="22" t="s">
        <v>53</v>
      </c>
      <c r="G499" s="25" t="s">
        <v>125</v>
      </c>
    </row>
    <row r="500" spans="1:7">
      <c r="A500" s="21" t="s">
        <v>632</v>
      </c>
      <c r="B500" s="22" t="s">
        <v>56</v>
      </c>
      <c r="C500" s="22" t="s">
        <v>124</v>
      </c>
      <c r="D500" s="23">
        <v>3</v>
      </c>
      <c r="E500" s="24">
        <f>SUM($D$2:D500)/SUM($D$2:$D$2846)</f>
        <v>0.7655904842820731</v>
      </c>
      <c r="F500" s="22" t="s">
        <v>53</v>
      </c>
      <c r="G500" s="25" t="s">
        <v>125</v>
      </c>
    </row>
    <row r="501" spans="1:7">
      <c r="A501" s="21" t="s">
        <v>633</v>
      </c>
      <c r="B501" s="26" t="s">
        <v>163</v>
      </c>
      <c r="C501" s="22" t="s">
        <v>45</v>
      </c>
      <c r="D501" s="23">
        <v>3</v>
      </c>
      <c r="E501" s="24">
        <f>SUM($D$2:D501)/SUM($D$2:$D$2846)</f>
        <v>0.76584536958368732</v>
      </c>
      <c r="F501" s="22" t="s">
        <v>53</v>
      </c>
      <c r="G501" s="25" t="s">
        <v>164</v>
      </c>
    </row>
    <row r="502" spans="1:7">
      <c r="A502" s="21" t="s">
        <v>634</v>
      </c>
      <c r="B502" s="22" t="s">
        <v>56</v>
      </c>
      <c r="C502" s="22" t="s">
        <v>124</v>
      </c>
      <c r="D502" s="23">
        <v>3</v>
      </c>
      <c r="E502" s="24">
        <f>SUM($D$2:D502)/SUM($D$2:$D$2846)</f>
        <v>0.76610025488530165</v>
      </c>
      <c r="F502" s="22" t="s">
        <v>53</v>
      </c>
      <c r="G502" s="25" t="s">
        <v>125</v>
      </c>
    </row>
    <row r="503" spans="1:7">
      <c r="A503" s="21" t="s">
        <v>635</v>
      </c>
      <c r="B503" s="22" t="s">
        <v>56</v>
      </c>
      <c r="C503" s="22" t="s">
        <v>124</v>
      </c>
      <c r="D503" s="23">
        <v>3</v>
      </c>
      <c r="E503" s="24">
        <f>SUM($D$2:D503)/SUM($D$2:$D$2846)</f>
        <v>0.76635514018691586</v>
      </c>
      <c r="F503" s="22" t="s">
        <v>53</v>
      </c>
      <c r="G503" s="25" t="s">
        <v>125</v>
      </c>
    </row>
    <row r="504" spans="1:7">
      <c r="A504" s="21" t="s">
        <v>636</v>
      </c>
      <c r="B504" s="22" t="s">
        <v>56</v>
      </c>
      <c r="C504" s="22" t="s">
        <v>124</v>
      </c>
      <c r="D504" s="23">
        <v>3</v>
      </c>
      <c r="E504" s="24">
        <f>SUM($D$2:D504)/SUM($D$2:$D$2846)</f>
        <v>0.76661002548853019</v>
      </c>
      <c r="F504" s="22" t="s">
        <v>53</v>
      </c>
      <c r="G504" s="25" t="s">
        <v>125</v>
      </c>
    </row>
    <row r="505" spans="1:7">
      <c r="A505" s="21" t="s">
        <v>637</v>
      </c>
      <c r="B505" s="22" t="s">
        <v>56</v>
      </c>
      <c r="C505" s="22" t="s">
        <v>124</v>
      </c>
      <c r="D505" s="23">
        <v>3</v>
      </c>
      <c r="E505" s="24">
        <f>SUM($D$2:D505)/SUM($D$2:$D$2846)</f>
        <v>0.76686491079014441</v>
      </c>
      <c r="F505" s="22" t="s">
        <v>53</v>
      </c>
      <c r="G505" s="25" t="s">
        <v>125</v>
      </c>
    </row>
    <row r="506" spans="1:7">
      <c r="A506" s="21" t="s">
        <v>638</v>
      </c>
      <c r="B506" s="22" t="s">
        <v>56</v>
      </c>
      <c r="C506" s="22" t="s">
        <v>124</v>
      </c>
      <c r="D506" s="23">
        <v>3</v>
      </c>
      <c r="E506" s="24">
        <f>SUM($D$2:D506)/SUM($D$2:$D$2846)</f>
        <v>0.76711979609175873</v>
      </c>
      <c r="F506" s="22" t="s">
        <v>53</v>
      </c>
      <c r="G506" s="25" t="s">
        <v>125</v>
      </c>
    </row>
    <row r="507" spans="1:7">
      <c r="A507" s="21" t="s">
        <v>639</v>
      </c>
      <c r="B507" s="26" t="s">
        <v>163</v>
      </c>
      <c r="C507" s="22" t="s">
        <v>45</v>
      </c>
      <c r="D507" s="23">
        <v>3</v>
      </c>
      <c r="E507" s="24">
        <f>SUM($D$2:D507)/SUM($D$2:$D$2846)</f>
        <v>0.76737468139337295</v>
      </c>
      <c r="F507" s="22" t="s">
        <v>53</v>
      </c>
      <c r="G507" s="25" t="s">
        <v>164</v>
      </c>
    </row>
    <row r="508" spans="1:7">
      <c r="A508" s="21" t="s">
        <v>640</v>
      </c>
      <c r="B508" s="26" t="s">
        <v>163</v>
      </c>
      <c r="C508" s="22" t="s">
        <v>45</v>
      </c>
      <c r="D508" s="23">
        <v>3</v>
      </c>
      <c r="E508" s="24">
        <f>SUM($D$2:D508)/SUM($D$2:$D$2846)</f>
        <v>0.76762956669498728</v>
      </c>
      <c r="F508" s="22" t="s">
        <v>53</v>
      </c>
      <c r="G508" s="25" t="s">
        <v>164</v>
      </c>
    </row>
    <row r="509" spans="1:7">
      <c r="A509" s="21" t="s">
        <v>641</v>
      </c>
      <c r="B509" s="22" t="s">
        <v>56</v>
      </c>
      <c r="C509" s="22" t="s">
        <v>124</v>
      </c>
      <c r="D509" s="23">
        <v>3</v>
      </c>
      <c r="E509" s="24">
        <f>SUM($D$2:D509)/SUM($D$2:$D$2846)</f>
        <v>0.76788445199660149</v>
      </c>
      <c r="F509" s="22" t="s">
        <v>53</v>
      </c>
      <c r="G509" s="25" t="s">
        <v>125</v>
      </c>
    </row>
    <row r="510" spans="1:7">
      <c r="A510" s="21" t="s">
        <v>642</v>
      </c>
      <c r="B510" s="22" t="s">
        <v>56</v>
      </c>
      <c r="C510" s="22" t="s">
        <v>124</v>
      </c>
      <c r="D510" s="23">
        <v>3</v>
      </c>
      <c r="E510" s="24">
        <f>SUM($D$2:D510)/SUM($D$2:$D$2846)</f>
        <v>0.76813933729821582</v>
      </c>
      <c r="F510" s="22" t="s">
        <v>53</v>
      </c>
      <c r="G510" s="25" t="s">
        <v>125</v>
      </c>
    </row>
    <row r="511" spans="1:7">
      <c r="A511" s="21" t="s">
        <v>643</v>
      </c>
      <c r="B511" s="22" t="s">
        <v>129</v>
      </c>
      <c r="C511" s="22" t="s">
        <v>124</v>
      </c>
      <c r="D511" s="23">
        <v>3</v>
      </c>
      <c r="E511" s="24">
        <f>SUM($D$2:D511)/SUM($D$2:$D$2846)</f>
        <v>0.76839422259983003</v>
      </c>
      <c r="F511" s="22" t="s">
        <v>53</v>
      </c>
      <c r="G511" s="25" t="s">
        <v>130</v>
      </c>
    </row>
    <row r="512" spans="1:7">
      <c r="A512" s="21" t="s">
        <v>644</v>
      </c>
      <c r="B512" s="22" t="s">
        <v>56</v>
      </c>
      <c r="C512" s="22" t="s">
        <v>124</v>
      </c>
      <c r="D512" s="23">
        <v>3</v>
      </c>
      <c r="E512" s="24">
        <f>SUM($D$2:D512)/SUM($D$2:$D$2846)</f>
        <v>0.76864910790144436</v>
      </c>
      <c r="F512" s="22" t="s">
        <v>53</v>
      </c>
      <c r="G512" s="25" t="s">
        <v>125</v>
      </c>
    </row>
    <row r="513" spans="1:7">
      <c r="A513" s="21" t="s">
        <v>645</v>
      </c>
      <c r="B513" s="22" t="s">
        <v>56</v>
      </c>
      <c r="C513" s="22" t="s">
        <v>124</v>
      </c>
      <c r="D513" s="23">
        <v>3</v>
      </c>
      <c r="E513" s="24">
        <f>SUM($D$2:D513)/SUM($D$2:$D$2846)</f>
        <v>0.76890399320305858</v>
      </c>
      <c r="F513" s="22" t="s">
        <v>53</v>
      </c>
      <c r="G513" s="25" t="s">
        <v>125</v>
      </c>
    </row>
    <row r="514" spans="1:7">
      <c r="A514" s="21" t="s">
        <v>646</v>
      </c>
      <c r="B514" s="22" t="s">
        <v>56</v>
      </c>
      <c r="C514" s="22" t="s">
        <v>124</v>
      </c>
      <c r="D514" s="23">
        <v>3</v>
      </c>
      <c r="E514" s="24">
        <f>SUM($D$2:D514)/SUM($D$2:$D$2846)</f>
        <v>0.7691588785046729</v>
      </c>
      <c r="F514" s="22" t="s">
        <v>53</v>
      </c>
      <c r="G514" s="25" t="s">
        <v>125</v>
      </c>
    </row>
    <row r="515" spans="1:7">
      <c r="A515" s="21" t="s">
        <v>647</v>
      </c>
      <c r="B515" s="22" t="s">
        <v>56</v>
      </c>
      <c r="C515" s="22" t="s">
        <v>124</v>
      </c>
      <c r="D515" s="23">
        <v>3</v>
      </c>
      <c r="E515" s="24">
        <f>SUM($D$2:D515)/SUM($D$2:$D$2846)</f>
        <v>0.76941376380628712</v>
      </c>
      <c r="F515" s="22" t="s">
        <v>53</v>
      </c>
      <c r="G515" s="25" t="s">
        <v>125</v>
      </c>
    </row>
    <row r="516" spans="1:7">
      <c r="A516" s="21" t="s">
        <v>648</v>
      </c>
      <c r="B516" s="22" t="s">
        <v>56</v>
      </c>
      <c r="C516" s="22" t="s">
        <v>124</v>
      </c>
      <c r="D516" s="23">
        <v>3</v>
      </c>
      <c r="E516" s="24">
        <f>SUM($D$2:D516)/SUM($D$2:$D$2846)</f>
        <v>0.76966864910790145</v>
      </c>
      <c r="F516" s="22" t="s">
        <v>53</v>
      </c>
      <c r="G516" s="25" t="s">
        <v>125</v>
      </c>
    </row>
    <row r="517" spans="1:7">
      <c r="A517" s="21" t="s">
        <v>649</v>
      </c>
      <c r="B517" s="22" t="s">
        <v>56</v>
      </c>
      <c r="C517" s="22" t="s">
        <v>124</v>
      </c>
      <c r="D517" s="23">
        <v>3</v>
      </c>
      <c r="E517" s="24">
        <f>SUM($D$2:D517)/SUM($D$2:$D$2846)</f>
        <v>0.76992353440951566</v>
      </c>
      <c r="F517" s="22" t="s">
        <v>53</v>
      </c>
      <c r="G517" s="25" t="s">
        <v>125</v>
      </c>
    </row>
    <row r="518" spans="1:7">
      <c r="A518" s="21" t="s">
        <v>650</v>
      </c>
      <c r="B518" s="22" t="s">
        <v>56</v>
      </c>
      <c r="C518" s="22" t="s">
        <v>124</v>
      </c>
      <c r="D518" s="23">
        <v>3</v>
      </c>
      <c r="E518" s="24">
        <f>SUM($D$2:D518)/SUM($D$2:$D$2846)</f>
        <v>0.77017841971112999</v>
      </c>
      <c r="F518" s="22" t="s">
        <v>53</v>
      </c>
      <c r="G518" s="25" t="s">
        <v>125</v>
      </c>
    </row>
    <row r="519" spans="1:7">
      <c r="A519" s="21" t="s">
        <v>651</v>
      </c>
      <c r="B519" s="22" t="s">
        <v>56</v>
      </c>
      <c r="C519" s="22" t="s">
        <v>124</v>
      </c>
      <c r="D519" s="23">
        <v>3</v>
      </c>
      <c r="E519" s="24">
        <f>SUM($D$2:D519)/SUM($D$2:$D$2846)</f>
        <v>0.77043330501274432</v>
      </c>
      <c r="F519" s="22" t="s">
        <v>53</v>
      </c>
      <c r="G519" s="25" t="s">
        <v>125</v>
      </c>
    </row>
    <row r="520" spans="1:7">
      <c r="A520" s="21" t="s">
        <v>652</v>
      </c>
      <c r="B520" s="22" t="s">
        <v>56</v>
      </c>
      <c r="C520" s="22" t="s">
        <v>124</v>
      </c>
      <c r="D520" s="23">
        <v>3</v>
      </c>
      <c r="E520" s="24">
        <f>SUM($D$2:D520)/SUM($D$2:$D$2846)</f>
        <v>0.77068819031435853</v>
      </c>
      <c r="F520" s="22" t="s">
        <v>53</v>
      </c>
      <c r="G520" s="25" t="s">
        <v>125</v>
      </c>
    </row>
    <row r="521" spans="1:7">
      <c r="A521" s="21" t="s">
        <v>653</v>
      </c>
      <c r="B521" s="22" t="s">
        <v>56</v>
      </c>
      <c r="C521" s="22" t="s">
        <v>124</v>
      </c>
      <c r="D521" s="23">
        <v>3</v>
      </c>
      <c r="E521" s="24">
        <f>SUM($D$2:D521)/SUM($D$2:$D$2846)</f>
        <v>0.77094307561597286</v>
      </c>
      <c r="F521" s="22" t="s">
        <v>53</v>
      </c>
      <c r="G521" s="25" t="s">
        <v>125</v>
      </c>
    </row>
    <row r="522" spans="1:7">
      <c r="A522" s="21" t="s">
        <v>654</v>
      </c>
      <c r="B522" s="22" t="s">
        <v>56</v>
      </c>
      <c r="C522" s="22" t="s">
        <v>124</v>
      </c>
      <c r="D522" s="23">
        <v>3</v>
      </c>
      <c r="E522" s="24">
        <f>SUM($D$2:D522)/SUM($D$2:$D$2846)</f>
        <v>0.77119796091758708</v>
      </c>
      <c r="F522" s="22" t="s">
        <v>53</v>
      </c>
      <c r="G522" s="25" t="s">
        <v>125</v>
      </c>
    </row>
    <row r="523" spans="1:7">
      <c r="A523" s="21" t="s">
        <v>655</v>
      </c>
      <c r="B523" s="26" t="s">
        <v>163</v>
      </c>
      <c r="C523" s="22" t="s">
        <v>45</v>
      </c>
      <c r="D523" s="23">
        <v>3</v>
      </c>
      <c r="E523" s="24">
        <f>SUM($D$2:D523)/SUM($D$2:$D$2846)</f>
        <v>0.7714528462192014</v>
      </c>
      <c r="F523" s="22" t="s">
        <v>53</v>
      </c>
      <c r="G523" s="25" t="s">
        <v>164</v>
      </c>
    </row>
    <row r="524" spans="1:7">
      <c r="A524" s="21" t="s">
        <v>656</v>
      </c>
      <c r="B524" s="22" t="s">
        <v>56</v>
      </c>
      <c r="C524" s="22" t="s">
        <v>124</v>
      </c>
      <c r="D524" s="23">
        <v>2</v>
      </c>
      <c r="E524" s="24">
        <f>SUM($D$2:D524)/SUM($D$2:$D$2846)</f>
        <v>0.77162276975361088</v>
      </c>
      <c r="F524" s="22" t="s">
        <v>46</v>
      </c>
      <c r="G524" s="25" t="s">
        <v>125</v>
      </c>
    </row>
    <row r="525" spans="1:7">
      <c r="A525" s="21" t="s">
        <v>657</v>
      </c>
      <c r="B525" s="22" t="s">
        <v>56</v>
      </c>
      <c r="C525" s="22" t="s">
        <v>124</v>
      </c>
      <c r="D525" s="23">
        <v>2</v>
      </c>
      <c r="E525" s="24">
        <f>SUM($D$2:D525)/SUM($D$2:$D$2846)</f>
        <v>0.77179269328802036</v>
      </c>
      <c r="F525" s="22" t="s">
        <v>46</v>
      </c>
      <c r="G525" s="25" t="s">
        <v>125</v>
      </c>
    </row>
    <row r="526" spans="1:7">
      <c r="A526" s="21" t="s">
        <v>658</v>
      </c>
      <c r="B526" s="22" t="s">
        <v>56</v>
      </c>
      <c r="C526" s="22" t="s">
        <v>124</v>
      </c>
      <c r="D526" s="23">
        <v>2</v>
      </c>
      <c r="E526" s="24">
        <f>SUM($D$2:D526)/SUM($D$2:$D$2846)</f>
        <v>0.77196261682242995</v>
      </c>
      <c r="F526" s="22" t="s">
        <v>46</v>
      </c>
      <c r="G526" s="25" t="s">
        <v>125</v>
      </c>
    </row>
    <row r="527" spans="1:7">
      <c r="A527" s="21" t="s">
        <v>659</v>
      </c>
      <c r="B527" s="22" t="s">
        <v>56</v>
      </c>
      <c r="C527" s="22" t="s">
        <v>124</v>
      </c>
      <c r="D527" s="23">
        <v>2</v>
      </c>
      <c r="E527" s="24">
        <f>SUM($D$2:D527)/SUM($D$2:$D$2846)</f>
        <v>0.77213254035683943</v>
      </c>
      <c r="F527" s="22" t="s">
        <v>46</v>
      </c>
      <c r="G527" s="25" t="s">
        <v>125</v>
      </c>
    </row>
    <row r="528" spans="1:7">
      <c r="A528" s="21" t="s">
        <v>660</v>
      </c>
      <c r="B528" s="22" t="s">
        <v>56</v>
      </c>
      <c r="C528" s="22" t="s">
        <v>124</v>
      </c>
      <c r="D528" s="23">
        <v>2</v>
      </c>
      <c r="E528" s="24">
        <f>SUM($D$2:D528)/SUM($D$2:$D$2846)</f>
        <v>0.7723024638912489</v>
      </c>
      <c r="F528" s="22" t="s">
        <v>46</v>
      </c>
      <c r="G528" s="25" t="s">
        <v>125</v>
      </c>
    </row>
    <row r="529" spans="1:7">
      <c r="A529" s="21" t="s">
        <v>661</v>
      </c>
      <c r="B529" s="22" t="s">
        <v>56</v>
      </c>
      <c r="C529" s="22" t="s">
        <v>124</v>
      </c>
      <c r="D529" s="23">
        <v>2</v>
      </c>
      <c r="E529" s="24">
        <f>SUM($D$2:D529)/SUM($D$2:$D$2846)</f>
        <v>0.77247238742565849</v>
      </c>
      <c r="F529" s="22" t="s">
        <v>46</v>
      </c>
      <c r="G529" s="25" t="s">
        <v>125</v>
      </c>
    </row>
    <row r="530" spans="1:7">
      <c r="A530" s="21" t="s">
        <v>662</v>
      </c>
      <c r="B530" s="22" t="s">
        <v>56</v>
      </c>
      <c r="C530" s="22" t="s">
        <v>124</v>
      </c>
      <c r="D530" s="23">
        <v>2</v>
      </c>
      <c r="E530" s="24">
        <f>SUM($D$2:D530)/SUM($D$2:$D$2846)</f>
        <v>0.77264231096006797</v>
      </c>
      <c r="F530" s="22" t="s">
        <v>46</v>
      </c>
      <c r="G530" s="25" t="s">
        <v>125</v>
      </c>
    </row>
    <row r="531" spans="1:7">
      <c r="A531" s="21" t="s">
        <v>663</v>
      </c>
      <c r="B531" s="22" t="s">
        <v>56</v>
      </c>
      <c r="C531" s="22" t="s">
        <v>124</v>
      </c>
      <c r="D531" s="23">
        <v>2</v>
      </c>
      <c r="E531" s="24">
        <f>SUM($D$2:D531)/SUM($D$2:$D$2846)</f>
        <v>0.77281223449447745</v>
      </c>
      <c r="F531" s="22" t="s">
        <v>46</v>
      </c>
      <c r="G531" s="25" t="s">
        <v>125</v>
      </c>
    </row>
    <row r="532" spans="1:7">
      <c r="A532" s="21" t="s">
        <v>664</v>
      </c>
      <c r="B532" s="22" t="s">
        <v>56</v>
      </c>
      <c r="C532" s="22" t="s">
        <v>124</v>
      </c>
      <c r="D532" s="23">
        <v>2</v>
      </c>
      <c r="E532" s="24">
        <f>SUM($D$2:D532)/SUM($D$2:$D$2846)</f>
        <v>0.77298215802888703</v>
      </c>
      <c r="F532" s="22" t="s">
        <v>46</v>
      </c>
      <c r="G532" s="25" t="s">
        <v>125</v>
      </c>
    </row>
    <row r="533" spans="1:7">
      <c r="A533" s="21" t="s">
        <v>665</v>
      </c>
      <c r="B533" s="22" t="s">
        <v>56</v>
      </c>
      <c r="C533" s="22" t="s">
        <v>124</v>
      </c>
      <c r="D533" s="23">
        <v>2</v>
      </c>
      <c r="E533" s="24">
        <f>SUM($D$2:D533)/SUM($D$2:$D$2846)</f>
        <v>0.77315208156329651</v>
      </c>
      <c r="F533" s="22" t="s">
        <v>46</v>
      </c>
      <c r="G533" s="25" t="s">
        <v>125</v>
      </c>
    </row>
    <row r="534" spans="1:7">
      <c r="A534" s="21" t="s">
        <v>666</v>
      </c>
      <c r="B534" s="22" t="s">
        <v>56</v>
      </c>
      <c r="C534" s="22" t="s">
        <v>124</v>
      </c>
      <c r="D534" s="23">
        <v>2</v>
      </c>
      <c r="E534" s="24">
        <f>SUM($D$2:D534)/SUM($D$2:$D$2846)</f>
        <v>0.77332200509770599</v>
      </c>
      <c r="F534" s="22" t="s">
        <v>46</v>
      </c>
      <c r="G534" s="25" t="s">
        <v>125</v>
      </c>
    </row>
    <row r="535" spans="1:7">
      <c r="A535" s="21" t="s">
        <v>667</v>
      </c>
      <c r="B535" s="22" t="s">
        <v>56</v>
      </c>
      <c r="C535" s="22" t="s">
        <v>124</v>
      </c>
      <c r="D535" s="23">
        <v>2</v>
      </c>
      <c r="E535" s="24">
        <f>SUM($D$2:D535)/SUM($D$2:$D$2846)</f>
        <v>0.77349192863211558</v>
      </c>
      <c r="F535" s="22" t="s">
        <v>46</v>
      </c>
      <c r="G535" s="25" t="s">
        <v>125</v>
      </c>
    </row>
    <row r="536" spans="1:7">
      <c r="A536" s="21" t="s">
        <v>668</v>
      </c>
      <c r="B536" s="22" t="s">
        <v>56</v>
      </c>
      <c r="C536" s="22" t="s">
        <v>124</v>
      </c>
      <c r="D536" s="23">
        <v>2</v>
      </c>
      <c r="E536" s="24">
        <f>SUM($D$2:D536)/SUM($D$2:$D$2846)</f>
        <v>0.77366185216652505</v>
      </c>
      <c r="F536" s="22" t="s">
        <v>46</v>
      </c>
      <c r="G536" s="25" t="s">
        <v>125</v>
      </c>
    </row>
    <row r="537" spans="1:7">
      <c r="A537" s="21" t="s">
        <v>669</v>
      </c>
      <c r="B537" s="22" t="s">
        <v>56</v>
      </c>
      <c r="C537" s="22" t="s">
        <v>124</v>
      </c>
      <c r="D537" s="23">
        <v>2</v>
      </c>
      <c r="E537" s="24">
        <f>SUM($D$2:D537)/SUM($D$2:$D$2846)</f>
        <v>0.77383177570093453</v>
      </c>
      <c r="F537" s="22" t="s">
        <v>46</v>
      </c>
      <c r="G537" s="25" t="s">
        <v>125</v>
      </c>
    </row>
    <row r="538" spans="1:7">
      <c r="A538" s="21" t="s">
        <v>670</v>
      </c>
      <c r="B538" s="22" t="s">
        <v>56</v>
      </c>
      <c r="C538" s="22" t="s">
        <v>124</v>
      </c>
      <c r="D538" s="23">
        <v>2</v>
      </c>
      <c r="E538" s="24">
        <f>SUM($D$2:D538)/SUM($D$2:$D$2846)</f>
        <v>0.77400169923534412</v>
      </c>
      <c r="F538" s="22" t="s">
        <v>46</v>
      </c>
      <c r="G538" s="25" t="s">
        <v>125</v>
      </c>
    </row>
    <row r="539" spans="1:7">
      <c r="A539" s="21" t="s">
        <v>671</v>
      </c>
      <c r="B539" s="22" t="s">
        <v>56</v>
      </c>
      <c r="C539" s="22" t="s">
        <v>124</v>
      </c>
      <c r="D539" s="23">
        <v>2</v>
      </c>
      <c r="E539" s="24">
        <f>SUM($D$2:D539)/SUM($D$2:$D$2846)</f>
        <v>0.7741716227697536</v>
      </c>
      <c r="F539" s="22" t="s">
        <v>46</v>
      </c>
      <c r="G539" s="25" t="s">
        <v>125</v>
      </c>
    </row>
    <row r="540" spans="1:7">
      <c r="A540" s="21" t="s">
        <v>672</v>
      </c>
      <c r="B540" s="22" t="s">
        <v>56</v>
      </c>
      <c r="C540" s="22" t="s">
        <v>124</v>
      </c>
      <c r="D540" s="23">
        <v>2</v>
      </c>
      <c r="E540" s="24">
        <f>SUM($D$2:D540)/SUM($D$2:$D$2846)</f>
        <v>0.77434154630416308</v>
      </c>
      <c r="F540" s="22" t="s">
        <v>46</v>
      </c>
      <c r="G540" s="25" t="s">
        <v>125</v>
      </c>
    </row>
    <row r="541" spans="1:7">
      <c r="A541" s="21" t="s">
        <v>673</v>
      </c>
      <c r="B541" s="22" t="s">
        <v>56</v>
      </c>
      <c r="C541" s="22" t="s">
        <v>124</v>
      </c>
      <c r="D541" s="23">
        <v>2</v>
      </c>
      <c r="E541" s="24">
        <f>SUM($D$2:D541)/SUM($D$2:$D$2846)</f>
        <v>0.77451146983857266</v>
      </c>
      <c r="F541" s="22" t="s">
        <v>46</v>
      </c>
      <c r="G541" s="25" t="s">
        <v>125</v>
      </c>
    </row>
    <row r="542" spans="1:7">
      <c r="A542" s="21" t="s">
        <v>674</v>
      </c>
      <c r="B542" s="22" t="s">
        <v>56</v>
      </c>
      <c r="C542" s="22" t="s">
        <v>124</v>
      </c>
      <c r="D542" s="23">
        <v>2</v>
      </c>
      <c r="E542" s="24">
        <f>SUM($D$2:D542)/SUM($D$2:$D$2846)</f>
        <v>0.77468139337298214</v>
      </c>
      <c r="F542" s="22" t="s">
        <v>46</v>
      </c>
      <c r="G542" s="25" t="s">
        <v>125</v>
      </c>
    </row>
    <row r="543" spans="1:7">
      <c r="A543" s="21" t="s">
        <v>675</v>
      </c>
      <c r="B543" s="22" t="s">
        <v>56</v>
      </c>
      <c r="C543" s="22" t="s">
        <v>124</v>
      </c>
      <c r="D543" s="23">
        <v>2</v>
      </c>
      <c r="E543" s="24">
        <f>SUM($D$2:D543)/SUM($D$2:$D$2846)</f>
        <v>0.77485131690739162</v>
      </c>
      <c r="F543" s="22" t="s">
        <v>46</v>
      </c>
      <c r="G543" s="25" t="s">
        <v>125</v>
      </c>
    </row>
    <row r="544" spans="1:7">
      <c r="A544" s="21" t="s">
        <v>676</v>
      </c>
      <c r="B544" s="22" t="s">
        <v>56</v>
      </c>
      <c r="C544" s="22" t="s">
        <v>124</v>
      </c>
      <c r="D544" s="23">
        <v>2</v>
      </c>
      <c r="E544" s="24">
        <f>SUM($D$2:D544)/SUM($D$2:$D$2846)</f>
        <v>0.77502124044180121</v>
      </c>
      <c r="F544" s="22" t="s">
        <v>46</v>
      </c>
      <c r="G544" s="25" t="s">
        <v>125</v>
      </c>
    </row>
    <row r="545" spans="1:7">
      <c r="A545" s="21" t="s">
        <v>677</v>
      </c>
      <c r="B545" s="22" t="s">
        <v>56</v>
      </c>
      <c r="C545" s="22" t="s">
        <v>124</v>
      </c>
      <c r="D545" s="23">
        <v>2</v>
      </c>
      <c r="E545" s="24">
        <f>SUM($D$2:D545)/SUM($D$2:$D$2846)</f>
        <v>0.77519116397621068</v>
      </c>
      <c r="F545" s="22" t="s">
        <v>46</v>
      </c>
      <c r="G545" s="25" t="s">
        <v>125</v>
      </c>
    </row>
    <row r="546" spans="1:7">
      <c r="A546" s="21" t="s">
        <v>678</v>
      </c>
      <c r="B546" s="22" t="s">
        <v>56</v>
      </c>
      <c r="C546" s="22" t="s">
        <v>124</v>
      </c>
      <c r="D546" s="23">
        <v>2</v>
      </c>
      <c r="E546" s="24">
        <f>SUM($D$2:D546)/SUM($D$2:$D$2846)</f>
        <v>0.77536108751062027</v>
      </c>
      <c r="F546" s="22" t="s">
        <v>46</v>
      </c>
      <c r="G546" s="25" t="s">
        <v>125</v>
      </c>
    </row>
    <row r="547" spans="1:7">
      <c r="A547" s="21" t="s">
        <v>679</v>
      </c>
      <c r="B547" s="22" t="s">
        <v>56</v>
      </c>
      <c r="C547" s="22" t="s">
        <v>124</v>
      </c>
      <c r="D547" s="23">
        <v>2</v>
      </c>
      <c r="E547" s="24">
        <f>SUM($D$2:D547)/SUM($D$2:$D$2846)</f>
        <v>0.77553101104502975</v>
      </c>
      <c r="F547" s="22" t="s">
        <v>46</v>
      </c>
      <c r="G547" s="25" t="s">
        <v>125</v>
      </c>
    </row>
    <row r="548" spans="1:7">
      <c r="A548" s="21" t="s">
        <v>680</v>
      </c>
      <c r="B548" s="22" t="s">
        <v>56</v>
      </c>
      <c r="C548" s="22" t="s">
        <v>124</v>
      </c>
      <c r="D548" s="23">
        <v>2</v>
      </c>
      <c r="E548" s="24">
        <f>SUM($D$2:D548)/SUM($D$2:$D$2846)</f>
        <v>0.77570093457943923</v>
      </c>
      <c r="F548" s="22" t="s">
        <v>46</v>
      </c>
      <c r="G548" s="25" t="s">
        <v>125</v>
      </c>
    </row>
    <row r="549" spans="1:7">
      <c r="A549" s="21" t="s">
        <v>681</v>
      </c>
      <c r="B549" s="22" t="s">
        <v>56</v>
      </c>
      <c r="C549" s="22" t="s">
        <v>124</v>
      </c>
      <c r="D549" s="23">
        <v>2</v>
      </c>
      <c r="E549" s="24">
        <f>SUM($D$2:D549)/SUM($D$2:$D$2846)</f>
        <v>0.77587085811384882</v>
      </c>
      <c r="F549" s="22" t="s">
        <v>46</v>
      </c>
      <c r="G549" s="25" t="s">
        <v>125</v>
      </c>
    </row>
    <row r="550" spans="1:7">
      <c r="A550" s="21" t="s">
        <v>682</v>
      </c>
      <c r="B550" s="22" t="s">
        <v>56</v>
      </c>
      <c r="C550" s="22" t="s">
        <v>124</v>
      </c>
      <c r="D550" s="23">
        <v>2</v>
      </c>
      <c r="E550" s="24">
        <f>SUM($D$2:D550)/SUM($D$2:$D$2846)</f>
        <v>0.77604078164825829</v>
      </c>
      <c r="F550" s="22" t="s">
        <v>46</v>
      </c>
      <c r="G550" s="25" t="s">
        <v>125</v>
      </c>
    </row>
    <row r="551" spans="1:7">
      <c r="A551" s="21" t="s">
        <v>683</v>
      </c>
      <c r="B551" s="22" t="s">
        <v>56</v>
      </c>
      <c r="C551" s="22" t="s">
        <v>124</v>
      </c>
      <c r="D551" s="23">
        <v>2</v>
      </c>
      <c r="E551" s="24">
        <f>SUM($D$2:D551)/SUM($D$2:$D$2846)</f>
        <v>0.77621070518266777</v>
      </c>
      <c r="F551" s="22" t="s">
        <v>46</v>
      </c>
      <c r="G551" s="25" t="s">
        <v>125</v>
      </c>
    </row>
    <row r="552" spans="1:7">
      <c r="A552" s="21" t="s">
        <v>684</v>
      </c>
      <c r="B552" s="22" t="s">
        <v>56</v>
      </c>
      <c r="C552" s="22" t="s">
        <v>124</v>
      </c>
      <c r="D552" s="23">
        <v>2</v>
      </c>
      <c r="E552" s="24">
        <f>SUM($D$2:D552)/SUM($D$2:$D$2846)</f>
        <v>0.77638062871707736</v>
      </c>
      <c r="F552" s="22" t="s">
        <v>46</v>
      </c>
      <c r="G552" s="25" t="s">
        <v>125</v>
      </c>
    </row>
    <row r="553" spans="1:7">
      <c r="A553" s="21" t="s">
        <v>58</v>
      </c>
      <c r="B553" s="26" t="s">
        <v>44</v>
      </c>
      <c r="C553" s="22" t="s">
        <v>45</v>
      </c>
      <c r="D553" s="23">
        <v>2</v>
      </c>
      <c r="E553" s="24">
        <f>SUM($D$2:D553)/SUM($D$2:$D$2846)</f>
        <v>0.77655055225148684</v>
      </c>
      <c r="F553" s="22" t="s">
        <v>46</v>
      </c>
      <c r="G553" s="25" t="s">
        <v>47</v>
      </c>
    </row>
    <row r="554" spans="1:7">
      <c r="A554" s="21" t="s">
        <v>59</v>
      </c>
      <c r="B554" s="26" t="s">
        <v>44</v>
      </c>
      <c r="C554" s="22" t="s">
        <v>45</v>
      </c>
      <c r="D554" s="23">
        <v>2</v>
      </c>
      <c r="E554" s="24">
        <f>SUM($D$2:D554)/SUM($D$2:$D$2846)</f>
        <v>0.77672047578589631</v>
      </c>
      <c r="F554" s="22" t="s">
        <v>46</v>
      </c>
      <c r="G554" s="25" t="s">
        <v>47</v>
      </c>
    </row>
    <row r="555" spans="1:7">
      <c r="A555" s="21" t="s">
        <v>685</v>
      </c>
      <c r="B555" s="26" t="s">
        <v>163</v>
      </c>
      <c r="C555" s="22" t="s">
        <v>45</v>
      </c>
      <c r="D555" s="23">
        <v>2</v>
      </c>
      <c r="E555" s="24">
        <f>SUM($D$2:D555)/SUM($D$2:$D$2846)</f>
        <v>0.7768903993203059</v>
      </c>
      <c r="F555" s="22" t="s">
        <v>46</v>
      </c>
      <c r="G555" s="25" t="s">
        <v>164</v>
      </c>
    </row>
    <row r="556" spans="1:7">
      <c r="A556" s="21" t="s">
        <v>686</v>
      </c>
      <c r="B556" s="26" t="s">
        <v>163</v>
      </c>
      <c r="C556" s="22" t="s">
        <v>45</v>
      </c>
      <c r="D556" s="23">
        <v>2</v>
      </c>
      <c r="E556" s="24">
        <f>SUM($D$2:D556)/SUM($D$2:$D$2846)</f>
        <v>0.77706032285471538</v>
      </c>
      <c r="F556" s="22" t="s">
        <v>46</v>
      </c>
      <c r="G556" s="25" t="s">
        <v>164</v>
      </c>
    </row>
    <row r="557" spans="1:7">
      <c r="A557" s="21" t="s">
        <v>687</v>
      </c>
      <c r="B557" s="26" t="s">
        <v>163</v>
      </c>
      <c r="C557" s="22" t="s">
        <v>45</v>
      </c>
      <c r="D557" s="23">
        <v>2</v>
      </c>
      <c r="E557" s="24">
        <f>SUM($D$2:D557)/SUM($D$2:$D$2846)</f>
        <v>0.77723024638912486</v>
      </c>
      <c r="F557" s="22" t="s">
        <v>46</v>
      </c>
      <c r="G557" s="25" t="s">
        <v>164</v>
      </c>
    </row>
    <row r="558" spans="1:7">
      <c r="A558" s="21" t="s">
        <v>688</v>
      </c>
      <c r="B558" s="26" t="s">
        <v>163</v>
      </c>
      <c r="C558" s="22" t="s">
        <v>45</v>
      </c>
      <c r="D558" s="23">
        <v>2</v>
      </c>
      <c r="E558" s="24">
        <f>SUM($D$2:D558)/SUM($D$2:$D$2846)</f>
        <v>0.77740016992353445</v>
      </c>
      <c r="F558" s="22" t="s">
        <v>46</v>
      </c>
      <c r="G558" s="25" t="s">
        <v>164</v>
      </c>
    </row>
    <row r="559" spans="1:7">
      <c r="A559" s="21" t="s">
        <v>689</v>
      </c>
      <c r="B559" s="26" t="s">
        <v>163</v>
      </c>
      <c r="C559" s="22" t="s">
        <v>45</v>
      </c>
      <c r="D559" s="23">
        <v>2</v>
      </c>
      <c r="E559" s="24">
        <f>SUM($D$2:D559)/SUM($D$2:$D$2846)</f>
        <v>0.77757009345794392</v>
      </c>
      <c r="F559" s="22" t="s">
        <v>46</v>
      </c>
      <c r="G559" s="25" t="s">
        <v>164</v>
      </c>
    </row>
    <row r="560" spans="1:7">
      <c r="A560" s="21" t="s">
        <v>690</v>
      </c>
      <c r="B560" s="26" t="s">
        <v>163</v>
      </c>
      <c r="C560" s="22" t="s">
        <v>45</v>
      </c>
      <c r="D560" s="23">
        <v>2</v>
      </c>
      <c r="E560" s="24">
        <f>SUM($D$2:D560)/SUM($D$2:$D$2846)</f>
        <v>0.7777400169923534</v>
      </c>
      <c r="F560" s="22" t="s">
        <v>46</v>
      </c>
      <c r="G560" s="25" t="s">
        <v>164</v>
      </c>
    </row>
    <row r="561" spans="1:7">
      <c r="A561" s="21" t="s">
        <v>691</v>
      </c>
      <c r="B561" s="22" t="s">
        <v>56</v>
      </c>
      <c r="C561" s="22" t="s">
        <v>124</v>
      </c>
      <c r="D561" s="23">
        <v>2</v>
      </c>
      <c r="E561" s="24">
        <f>SUM($D$2:D561)/SUM($D$2:$D$2846)</f>
        <v>0.77790994052676299</v>
      </c>
      <c r="F561" s="22" t="s">
        <v>46</v>
      </c>
      <c r="G561" s="25" t="s">
        <v>125</v>
      </c>
    </row>
    <row r="562" spans="1:7">
      <c r="A562" s="21" t="s">
        <v>692</v>
      </c>
      <c r="B562" s="22" t="s">
        <v>56</v>
      </c>
      <c r="C562" s="22" t="s">
        <v>124</v>
      </c>
      <c r="D562" s="23">
        <v>2</v>
      </c>
      <c r="E562" s="24">
        <f>SUM($D$2:D562)/SUM($D$2:$D$2846)</f>
        <v>0.77807986406117247</v>
      </c>
      <c r="F562" s="22" t="s">
        <v>46</v>
      </c>
      <c r="G562" s="25" t="s">
        <v>125</v>
      </c>
    </row>
    <row r="563" spans="1:7">
      <c r="A563" s="21" t="s">
        <v>693</v>
      </c>
      <c r="B563" s="22" t="s">
        <v>56</v>
      </c>
      <c r="C563" s="22" t="s">
        <v>124</v>
      </c>
      <c r="D563" s="23">
        <v>2</v>
      </c>
      <c r="E563" s="24">
        <f>SUM($D$2:D563)/SUM($D$2:$D$2846)</f>
        <v>0.77824978759558194</v>
      </c>
      <c r="F563" s="22" t="s">
        <v>46</v>
      </c>
      <c r="G563" s="25" t="s">
        <v>125</v>
      </c>
    </row>
    <row r="564" spans="1:7">
      <c r="A564" s="21" t="s">
        <v>694</v>
      </c>
      <c r="B564" s="22" t="s">
        <v>56</v>
      </c>
      <c r="C564" s="22" t="s">
        <v>124</v>
      </c>
      <c r="D564" s="23">
        <v>2</v>
      </c>
      <c r="E564" s="24">
        <f>SUM($D$2:D564)/SUM($D$2:$D$2846)</f>
        <v>0.77841971112999153</v>
      </c>
      <c r="F564" s="22" t="s">
        <v>46</v>
      </c>
      <c r="G564" s="25" t="s">
        <v>125</v>
      </c>
    </row>
    <row r="565" spans="1:7">
      <c r="A565" s="21" t="s">
        <v>695</v>
      </c>
      <c r="B565" s="22" t="s">
        <v>56</v>
      </c>
      <c r="C565" s="22" t="s">
        <v>124</v>
      </c>
      <c r="D565" s="23">
        <v>2</v>
      </c>
      <c r="E565" s="24">
        <f>SUM($D$2:D565)/SUM($D$2:$D$2846)</f>
        <v>0.77858963466440101</v>
      </c>
      <c r="F565" s="22" t="s">
        <v>46</v>
      </c>
      <c r="G565" s="25" t="s">
        <v>125</v>
      </c>
    </row>
    <row r="566" spans="1:7">
      <c r="A566" s="21" t="s">
        <v>696</v>
      </c>
      <c r="B566" s="22" t="s">
        <v>56</v>
      </c>
      <c r="C566" s="22" t="s">
        <v>124</v>
      </c>
      <c r="D566" s="23">
        <v>2</v>
      </c>
      <c r="E566" s="24">
        <f>SUM($D$2:D566)/SUM($D$2:$D$2846)</f>
        <v>0.77875955819881049</v>
      </c>
      <c r="F566" s="22" t="s">
        <v>46</v>
      </c>
      <c r="G566" s="25" t="s">
        <v>125</v>
      </c>
    </row>
    <row r="567" spans="1:7">
      <c r="A567" s="21" t="s">
        <v>60</v>
      </c>
      <c r="B567" s="26" t="s">
        <v>56</v>
      </c>
      <c r="C567" s="22" t="s">
        <v>45</v>
      </c>
      <c r="D567" s="23">
        <v>2</v>
      </c>
      <c r="E567" s="24">
        <f>SUM($D$2:D567)/SUM($D$2:$D$2846)</f>
        <v>0.77892948173322007</v>
      </c>
      <c r="F567" s="22" t="s">
        <v>46</v>
      </c>
      <c r="G567" s="25" t="s">
        <v>47</v>
      </c>
    </row>
    <row r="568" spans="1:7">
      <c r="A568" s="21" t="s">
        <v>697</v>
      </c>
      <c r="B568" s="22" t="s">
        <v>56</v>
      </c>
      <c r="C568" s="22" t="s">
        <v>124</v>
      </c>
      <c r="D568" s="23">
        <v>2</v>
      </c>
      <c r="E568" s="24">
        <f>SUM($D$2:D568)/SUM($D$2:$D$2846)</f>
        <v>0.77909940526762955</v>
      </c>
      <c r="F568" s="22" t="s">
        <v>46</v>
      </c>
      <c r="G568" s="25" t="s">
        <v>125</v>
      </c>
    </row>
    <row r="569" spans="1:7">
      <c r="A569" s="21" t="s">
        <v>698</v>
      </c>
      <c r="B569" s="22" t="s">
        <v>56</v>
      </c>
      <c r="C569" s="22" t="s">
        <v>124</v>
      </c>
      <c r="D569" s="23">
        <v>2</v>
      </c>
      <c r="E569" s="24">
        <f>SUM($D$2:D569)/SUM($D$2:$D$2846)</f>
        <v>0.77926932880203903</v>
      </c>
      <c r="F569" s="22" t="s">
        <v>46</v>
      </c>
      <c r="G569" s="25" t="s">
        <v>125</v>
      </c>
    </row>
    <row r="570" spans="1:7">
      <c r="A570" s="21" t="s">
        <v>699</v>
      </c>
      <c r="B570" s="22" t="s">
        <v>56</v>
      </c>
      <c r="C570" s="22" t="s">
        <v>124</v>
      </c>
      <c r="D570" s="23">
        <v>2</v>
      </c>
      <c r="E570" s="24">
        <f>SUM($D$2:D570)/SUM($D$2:$D$2846)</f>
        <v>0.77943925233644862</v>
      </c>
      <c r="F570" s="22" t="s">
        <v>46</v>
      </c>
      <c r="G570" s="25" t="s">
        <v>125</v>
      </c>
    </row>
    <row r="571" spans="1:7">
      <c r="A571" s="21" t="s">
        <v>700</v>
      </c>
      <c r="B571" s="22" t="s">
        <v>56</v>
      </c>
      <c r="C571" s="22" t="s">
        <v>124</v>
      </c>
      <c r="D571" s="23">
        <v>2</v>
      </c>
      <c r="E571" s="24">
        <f>SUM($D$2:D571)/SUM($D$2:$D$2846)</f>
        <v>0.7796091758708581</v>
      </c>
      <c r="F571" s="22" t="s">
        <v>46</v>
      </c>
      <c r="G571" s="25" t="s">
        <v>125</v>
      </c>
    </row>
    <row r="572" spans="1:7">
      <c r="A572" s="21" t="s">
        <v>701</v>
      </c>
      <c r="B572" s="22" t="s">
        <v>56</v>
      </c>
      <c r="C572" s="22" t="s">
        <v>124</v>
      </c>
      <c r="D572" s="23">
        <v>2</v>
      </c>
      <c r="E572" s="24">
        <f>SUM($D$2:D572)/SUM($D$2:$D$2846)</f>
        <v>0.77977909940526768</v>
      </c>
      <c r="F572" s="22" t="s">
        <v>46</v>
      </c>
      <c r="G572" s="25" t="s">
        <v>125</v>
      </c>
    </row>
    <row r="573" spans="1:7">
      <c r="A573" s="21" t="s">
        <v>702</v>
      </c>
      <c r="B573" s="22" t="s">
        <v>56</v>
      </c>
      <c r="C573" s="22" t="s">
        <v>124</v>
      </c>
      <c r="D573" s="23">
        <v>2</v>
      </c>
      <c r="E573" s="24">
        <f>SUM($D$2:D573)/SUM($D$2:$D$2846)</f>
        <v>0.77994902293967716</v>
      </c>
      <c r="F573" s="22" t="s">
        <v>46</v>
      </c>
      <c r="G573" s="25" t="s">
        <v>125</v>
      </c>
    </row>
    <row r="574" spans="1:7">
      <c r="A574" s="21" t="s">
        <v>703</v>
      </c>
      <c r="B574" s="22" t="s">
        <v>56</v>
      </c>
      <c r="C574" s="22" t="s">
        <v>124</v>
      </c>
      <c r="D574" s="23">
        <v>2</v>
      </c>
      <c r="E574" s="24">
        <f>SUM($D$2:D574)/SUM($D$2:$D$2846)</f>
        <v>0.78011894647408664</v>
      </c>
      <c r="F574" s="22" t="s">
        <v>46</v>
      </c>
      <c r="G574" s="25" t="s">
        <v>125</v>
      </c>
    </row>
    <row r="575" spans="1:7">
      <c r="A575" s="21" t="s">
        <v>704</v>
      </c>
      <c r="B575" s="22" t="s">
        <v>56</v>
      </c>
      <c r="C575" s="22" t="s">
        <v>124</v>
      </c>
      <c r="D575" s="23">
        <v>2</v>
      </c>
      <c r="E575" s="24">
        <f>SUM($D$2:D575)/SUM($D$2:$D$2846)</f>
        <v>0.78028887000849623</v>
      </c>
      <c r="F575" s="22" t="s">
        <v>46</v>
      </c>
      <c r="G575" s="25" t="s">
        <v>125</v>
      </c>
    </row>
    <row r="576" spans="1:7">
      <c r="A576" s="21" t="s">
        <v>705</v>
      </c>
      <c r="B576" s="22" t="s">
        <v>56</v>
      </c>
      <c r="C576" s="22" t="s">
        <v>124</v>
      </c>
      <c r="D576" s="23">
        <v>2</v>
      </c>
      <c r="E576" s="24">
        <f>SUM($D$2:D576)/SUM($D$2:$D$2846)</f>
        <v>0.7804587935429057</v>
      </c>
      <c r="F576" s="22" t="s">
        <v>46</v>
      </c>
      <c r="G576" s="25" t="s">
        <v>125</v>
      </c>
    </row>
    <row r="577" spans="1:7">
      <c r="A577" s="21" t="s">
        <v>706</v>
      </c>
      <c r="B577" s="22" t="s">
        <v>56</v>
      </c>
      <c r="C577" s="22" t="s">
        <v>124</v>
      </c>
      <c r="D577" s="23">
        <v>2</v>
      </c>
      <c r="E577" s="24">
        <f>SUM($D$2:D577)/SUM($D$2:$D$2846)</f>
        <v>0.78062871707731518</v>
      </c>
      <c r="F577" s="22" t="s">
        <v>46</v>
      </c>
      <c r="G577" s="25" t="s">
        <v>125</v>
      </c>
    </row>
    <row r="578" spans="1:7">
      <c r="A578" s="21" t="s">
        <v>707</v>
      </c>
      <c r="B578" s="22" t="s">
        <v>56</v>
      </c>
      <c r="C578" s="22" t="s">
        <v>124</v>
      </c>
      <c r="D578" s="23">
        <v>2</v>
      </c>
      <c r="E578" s="24">
        <f>SUM($D$2:D578)/SUM($D$2:$D$2846)</f>
        <v>0.78079864061172477</v>
      </c>
      <c r="F578" s="22" t="s">
        <v>46</v>
      </c>
      <c r="G578" s="25" t="s">
        <v>125</v>
      </c>
    </row>
    <row r="579" spans="1:7">
      <c r="A579" s="21" t="s">
        <v>708</v>
      </c>
      <c r="B579" s="22" t="s">
        <v>56</v>
      </c>
      <c r="C579" s="22" t="s">
        <v>124</v>
      </c>
      <c r="D579" s="23">
        <v>2</v>
      </c>
      <c r="E579" s="24">
        <f>SUM($D$2:D579)/SUM($D$2:$D$2846)</f>
        <v>0.78096856414613425</v>
      </c>
      <c r="F579" s="22" t="s">
        <v>46</v>
      </c>
      <c r="G579" s="25" t="s">
        <v>125</v>
      </c>
    </row>
    <row r="580" spans="1:7">
      <c r="A580" s="21" t="s">
        <v>709</v>
      </c>
      <c r="B580" s="22" t="s">
        <v>56</v>
      </c>
      <c r="C580" s="22" t="s">
        <v>124</v>
      </c>
      <c r="D580" s="23">
        <v>2</v>
      </c>
      <c r="E580" s="24">
        <f>SUM($D$2:D580)/SUM($D$2:$D$2846)</f>
        <v>0.78113848768054372</v>
      </c>
      <c r="F580" s="22" t="s">
        <v>46</v>
      </c>
      <c r="G580" s="25" t="s">
        <v>125</v>
      </c>
    </row>
    <row r="581" spans="1:7">
      <c r="A581" s="21" t="s">
        <v>710</v>
      </c>
      <c r="B581" s="26" t="s">
        <v>163</v>
      </c>
      <c r="C581" s="22" t="s">
        <v>45</v>
      </c>
      <c r="D581" s="23">
        <v>2</v>
      </c>
      <c r="E581" s="24">
        <f>SUM($D$2:D581)/SUM($D$2:$D$2846)</f>
        <v>0.78130841121495331</v>
      </c>
      <c r="F581" s="22" t="s">
        <v>46</v>
      </c>
      <c r="G581" s="25" t="s">
        <v>164</v>
      </c>
    </row>
    <row r="582" spans="1:7">
      <c r="A582" s="21" t="s">
        <v>711</v>
      </c>
      <c r="B582" s="22" t="s">
        <v>56</v>
      </c>
      <c r="C582" s="22" t="s">
        <v>124</v>
      </c>
      <c r="D582" s="23">
        <v>2</v>
      </c>
      <c r="E582" s="24">
        <f>SUM($D$2:D582)/SUM($D$2:$D$2846)</f>
        <v>0.78147833474936279</v>
      </c>
      <c r="F582" s="22" t="s">
        <v>46</v>
      </c>
      <c r="G582" s="25" t="s">
        <v>125</v>
      </c>
    </row>
    <row r="583" spans="1:7">
      <c r="A583" s="21" t="s">
        <v>712</v>
      </c>
      <c r="B583" s="22" t="s">
        <v>56</v>
      </c>
      <c r="C583" s="22" t="s">
        <v>124</v>
      </c>
      <c r="D583" s="23">
        <v>2</v>
      </c>
      <c r="E583" s="24">
        <f>SUM($D$2:D583)/SUM($D$2:$D$2846)</f>
        <v>0.78164825828377227</v>
      </c>
      <c r="F583" s="22" t="s">
        <v>46</v>
      </c>
      <c r="G583" s="25" t="s">
        <v>125</v>
      </c>
    </row>
    <row r="584" spans="1:7">
      <c r="A584" s="21" t="s">
        <v>713</v>
      </c>
      <c r="B584" s="26" t="s">
        <v>163</v>
      </c>
      <c r="C584" s="22" t="s">
        <v>45</v>
      </c>
      <c r="D584" s="23">
        <v>2</v>
      </c>
      <c r="E584" s="24">
        <f>SUM($D$2:D584)/SUM($D$2:$D$2846)</f>
        <v>0.78181818181818186</v>
      </c>
      <c r="F584" s="22" t="s">
        <v>46</v>
      </c>
      <c r="G584" s="25" t="s">
        <v>164</v>
      </c>
    </row>
    <row r="585" spans="1:7">
      <c r="A585" s="21" t="s">
        <v>714</v>
      </c>
      <c r="B585" s="26" t="s">
        <v>163</v>
      </c>
      <c r="C585" s="22" t="s">
        <v>45</v>
      </c>
      <c r="D585" s="23">
        <v>2</v>
      </c>
      <c r="E585" s="24">
        <f>SUM($D$2:D585)/SUM($D$2:$D$2846)</f>
        <v>0.78198810535259133</v>
      </c>
      <c r="F585" s="22" t="s">
        <v>46</v>
      </c>
      <c r="G585" s="25" t="s">
        <v>164</v>
      </c>
    </row>
    <row r="586" spans="1:7">
      <c r="A586" s="21" t="s">
        <v>61</v>
      </c>
      <c r="B586" s="26" t="s">
        <v>44</v>
      </c>
      <c r="C586" s="22" t="s">
        <v>45</v>
      </c>
      <c r="D586" s="23">
        <v>2</v>
      </c>
      <c r="E586" s="24">
        <f>SUM($D$2:D586)/SUM($D$2:$D$2846)</f>
        <v>0.78215802888700081</v>
      </c>
      <c r="F586" s="22" t="s">
        <v>46</v>
      </c>
      <c r="G586" s="25" t="s">
        <v>47</v>
      </c>
    </row>
    <row r="587" spans="1:7">
      <c r="A587" s="21" t="s">
        <v>715</v>
      </c>
      <c r="B587" s="22" t="s">
        <v>56</v>
      </c>
      <c r="C587" s="22" t="s">
        <v>124</v>
      </c>
      <c r="D587" s="23">
        <v>2</v>
      </c>
      <c r="E587" s="24">
        <f>SUM($D$2:D587)/SUM($D$2:$D$2846)</f>
        <v>0.7823279524214104</v>
      </c>
      <c r="F587" s="22" t="s">
        <v>46</v>
      </c>
      <c r="G587" s="25" t="s">
        <v>125</v>
      </c>
    </row>
    <row r="588" spans="1:7">
      <c r="A588" s="21" t="s">
        <v>716</v>
      </c>
      <c r="B588" s="22" t="s">
        <v>56</v>
      </c>
      <c r="C588" s="22" t="s">
        <v>124</v>
      </c>
      <c r="D588" s="23">
        <v>2</v>
      </c>
      <c r="E588" s="24">
        <f>SUM($D$2:D588)/SUM($D$2:$D$2846)</f>
        <v>0.78249787595581988</v>
      </c>
      <c r="F588" s="22" t="s">
        <v>46</v>
      </c>
      <c r="G588" s="25" t="s">
        <v>125</v>
      </c>
    </row>
    <row r="589" spans="1:7">
      <c r="A589" s="21" t="s">
        <v>717</v>
      </c>
      <c r="B589" s="26" t="s">
        <v>163</v>
      </c>
      <c r="C589" s="22" t="s">
        <v>45</v>
      </c>
      <c r="D589" s="23">
        <v>2</v>
      </c>
      <c r="E589" s="24">
        <f>SUM($D$2:D589)/SUM($D$2:$D$2846)</f>
        <v>0.78266779949022935</v>
      </c>
      <c r="F589" s="22" t="s">
        <v>46</v>
      </c>
      <c r="G589" s="25" t="s">
        <v>164</v>
      </c>
    </row>
    <row r="590" spans="1:7">
      <c r="A590" s="21" t="s">
        <v>718</v>
      </c>
      <c r="B590" s="22" t="s">
        <v>56</v>
      </c>
      <c r="C590" s="22" t="s">
        <v>124</v>
      </c>
      <c r="D590" s="23">
        <v>2</v>
      </c>
      <c r="E590" s="24">
        <f>SUM($D$2:D590)/SUM($D$2:$D$2846)</f>
        <v>0.78283772302463894</v>
      </c>
      <c r="F590" s="22" t="s">
        <v>46</v>
      </c>
      <c r="G590" s="25" t="s">
        <v>125</v>
      </c>
    </row>
    <row r="591" spans="1:7">
      <c r="A591" s="21" t="s">
        <v>719</v>
      </c>
      <c r="B591" s="22" t="s">
        <v>56</v>
      </c>
      <c r="C591" s="22" t="s">
        <v>124</v>
      </c>
      <c r="D591" s="23">
        <v>2</v>
      </c>
      <c r="E591" s="24">
        <f>SUM($D$2:D591)/SUM($D$2:$D$2846)</f>
        <v>0.78300764655904842</v>
      </c>
      <c r="F591" s="22" t="s">
        <v>46</v>
      </c>
      <c r="G591" s="25" t="s">
        <v>125</v>
      </c>
    </row>
    <row r="592" spans="1:7">
      <c r="A592" s="21" t="s">
        <v>720</v>
      </c>
      <c r="B592" s="22" t="s">
        <v>56</v>
      </c>
      <c r="C592" s="22" t="s">
        <v>124</v>
      </c>
      <c r="D592" s="23">
        <v>2</v>
      </c>
      <c r="E592" s="24">
        <f>SUM($D$2:D592)/SUM($D$2:$D$2846)</f>
        <v>0.7831775700934579</v>
      </c>
      <c r="F592" s="22" t="s">
        <v>46</v>
      </c>
      <c r="G592" s="25" t="s">
        <v>125</v>
      </c>
    </row>
    <row r="593" spans="1:7">
      <c r="A593" s="21" t="s">
        <v>721</v>
      </c>
      <c r="B593" s="22" t="s">
        <v>56</v>
      </c>
      <c r="C593" s="22" t="s">
        <v>124</v>
      </c>
      <c r="D593" s="23">
        <v>2</v>
      </c>
      <c r="E593" s="24">
        <f>SUM($D$2:D593)/SUM($D$2:$D$2846)</f>
        <v>0.78334749362786749</v>
      </c>
      <c r="F593" s="22" t="s">
        <v>46</v>
      </c>
      <c r="G593" s="25" t="s">
        <v>125</v>
      </c>
    </row>
    <row r="594" spans="1:7">
      <c r="A594" s="21" t="s">
        <v>722</v>
      </c>
      <c r="B594" s="22" t="s">
        <v>56</v>
      </c>
      <c r="C594" s="22" t="s">
        <v>124</v>
      </c>
      <c r="D594" s="23">
        <v>2</v>
      </c>
      <c r="E594" s="24">
        <f>SUM($D$2:D594)/SUM($D$2:$D$2846)</f>
        <v>0.78351741716227696</v>
      </c>
      <c r="F594" s="22" t="s">
        <v>46</v>
      </c>
      <c r="G594" s="25" t="s">
        <v>125</v>
      </c>
    </row>
    <row r="595" spans="1:7">
      <c r="A595" s="21" t="s">
        <v>723</v>
      </c>
      <c r="B595" s="22" t="s">
        <v>56</v>
      </c>
      <c r="C595" s="22" t="s">
        <v>124</v>
      </c>
      <c r="D595" s="23">
        <v>2</v>
      </c>
      <c r="E595" s="24">
        <f>SUM($D$2:D595)/SUM($D$2:$D$2846)</f>
        <v>0.78368734069668644</v>
      </c>
      <c r="F595" s="22" t="s">
        <v>46</v>
      </c>
      <c r="G595" s="25" t="s">
        <v>125</v>
      </c>
    </row>
    <row r="596" spans="1:7">
      <c r="A596" s="21" t="s">
        <v>724</v>
      </c>
      <c r="B596" s="22" t="s">
        <v>56</v>
      </c>
      <c r="C596" s="22" t="s">
        <v>124</v>
      </c>
      <c r="D596" s="23">
        <v>2</v>
      </c>
      <c r="E596" s="24">
        <f>SUM($D$2:D596)/SUM($D$2:$D$2846)</f>
        <v>0.78385726423109603</v>
      </c>
      <c r="F596" s="22" t="s">
        <v>46</v>
      </c>
      <c r="G596" s="25" t="s">
        <v>125</v>
      </c>
    </row>
    <row r="597" spans="1:7">
      <c r="A597" s="21" t="s">
        <v>725</v>
      </c>
      <c r="B597" s="22" t="s">
        <v>56</v>
      </c>
      <c r="C597" s="22" t="s">
        <v>124</v>
      </c>
      <c r="D597" s="23">
        <v>2</v>
      </c>
      <c r="E597" s="24">
        <f>SUM($D$2:D597)/SUM($D$2:$D$2846)</f>
        <v>0.78402718776550551</v>
      </c>
      <c r="F597" s="22" t="s">
        <v>46</v>
      </c>
      <c r="G597" s="25" t="s">
        <v>125</v>
      </c>
    </row>
    <row r="598" spans="1:7">
      <c r="A598" s="21" t="s">
        <v>726</v>
      </c>
      <c r="B598" s="22" t="s">
        <v>56</v>
      </c>
      <c r="C598" s="22" t="s">
        <v>124</v>
      </c>
      <c r="D598" s="23">
        <v>2</v>
      </c>
      <c r="E598" s="24">
        <f>SUM($D$2:D598)/SUM($D$2:$D$2846)</f>
        <v>0.78419711129991498</v>
      </c>
      <c r="F598" s="22" t="s">
        <v>46</v>
      </c>
      <c r="G598" s="25" t="s">
        <v>125</v>
      </c>
    </row>
    <row r="599" spans="1:7">
      <c r="A599" s="21" t="s">
        <v>727</v>
      </c>
      <c r="B599" s="26" t="s">
        <v>163</v>
      </c>
      <c r="C599" s="22" t="s">
        <v>45</v>
      </c>
      <c r="D599" s="23">
        <v>2</v>
      </c>
      <c r="E599" s="24">
        <f>SUM($D$2:D599)/SUM($D$2:$D$2846)</f>
        <v>0.78436703483432457</v>
      </c>
      <c r="F599" s="22" t="s">
        <v>46</v>
      </c>
      <c r="G599" s="25" t="s">
        <v>164</v>
      </c>
    </row>
    <row r="600" spans="1:7">
      <c r="A600" s="21" t="s">
        <v>728</v>
      </c>
      <c r="B600" s="26" t="s">
        <v>163</v>
      </c>
      <c r="C600" s="22" t="s">
        <v>45</v>
      </c>
      <c r="D600" s="23">
        <v>2</v>
      </c>
      <c r="E600" s="24">
        <f>SUM($D$2:D600)/SUM($D$2:$D$2846)</f>
        <v>0.78453695836873405</v>
      </c>
      <c r="F600" s="22" t="s">
        <v>46</v>
      </c>
      <c r="G600" s="25" t="s">
        <v>164</v>
      </c>
    </row>
    <row r="601" spans="1:7">
      <c r="A601" s="21" t="s">
        <v>729</v>
      </c>
      <c r="B601" s="22" t="s">
        <v>56</v>
      </c>
      <c r="C601" s="22" t="s">
        <v>124</v>
      </c>
      <c r="D601" s="23">
        <v>2</v>
      </c>
      <c r="E601" s="24">
        <f>SUM($D$2:D601)/SUM($D$2:$D$2846)</f>
        <v>0.78470688190314364</v>
      </c>
      <c r="F601" s="22" t="s">
        <v>46</v>
      </c>
      <c r="G601" s="25" t="s">
        <v>125</v>
      </c>
    </row>
    <row r="602" spans="1:7">
      <c r="A602" s="21" t="s">
        <v>730</v>
      </c>
      <c r="B602" s="22" t="s">
        <v>56</v>
      </c>
      <c r="C602" s="22" t="s">
        <v>124</v>
      </c>
      <c r="D602" s="23">
        <v>2</v>
      </c>
      <c r="E602" s="24">
        <f>SUM($D$2:D602)/SUM($D$2:$D$2846)</f>
        <v>0.78487680543755312</v>
      </c>
      <c r="F602" s="22" t="s">
        <v>46</v>
      </c>
      <c r="G602" s="25" t="s">
        <v>125</v>
      </c>
    </row>
    <row r="603" spans="1:7">
      <c r="A603" s="21" t="s">
        <v>731</v>
      </c>
      <c r="B603" s="26" t="s">
        <v>163</v>
      </c>
      <c r="C603" s="22" t="s">
        <v>45</v>
      </c>
      <c r="D603" s="23">
        <v>2</v>
      </c>
      <c r="E603" s="24">
        <f>SUM($D$2:D603)/SUM($D$2:$D$2846)</f>
        <v>0.78504672897196259</v>
      </c>
      <c r="F603" s="22" t="s">
        <v>46</v>
      </c>
      <c r="G603" s="25" t="s">
        <v>164</v>
      </c>
    </row>
    <row r="604" spans="1:7">
      <c r="A604" s="21" t="s">
        <v>732</v>
      </c>
      <c r="B604" s="26" t="s">
        <v>163</v>
      </c>
      <c r="C604" s="22" t="s">
        <v>45</v>
      </c>
      <c r="D604" s="23">
        <v>2</v>
      </c>
      <c r="E604" s="24">
        <f>SUM($D$2:D604)/SUM($D$2:$D$2846)</f>
        <v>0.78521665250637218</v>
      </c>
      <c r="F604" s="22" t="s">
        <v>46</v>
      </c>
      <c r="G604" s="25" t="s">
        <v>164</v>
      </c>
    </row>
    <row r="605" spans="1:7">
      <c r="A605" s="21" t="s">
        <v>733</v>
      </c>
      <c r="B605" s="22" t="s">
        <v>56</v>
      </c>
      <c r="C605" s="22" t="s">
        <v>124</v>
      </c>
      <c r="D605" s="23">
        <v>2</v>
      </c>
      <c r="E605" s="24">
        <f>SUM($D$2:D605)/SUM($D$2:$D$2846)</f>
        <v>0.78538657604078166</v>
      </c>
      <c r="F605" s="22" t="s">
        <v>46</v>
      </c>
      <c r="G605" s="25" t="s">
        <v>125</v>
      </c>
    </row>
    <row r="606" spans="1:7">
      <c r="A606" s="21" t="s">
        <v>734</v>
      </c>
      <c r="B606" s="22" t="s">
        <v>56</v>
      </c>
      <c r="C606" s="22" t="s">
        <v>124</v>
      </c>
      <c r="D606" s="23">
        <v>2</v>
      </c>
      <c r="E606" s="24">
        <f>SUM($D$2:D606)/SUM($D$2:$D$2846)</f>
        <v>0.78555649957519114</v>
      </c>
      <c r="F606" s="22" t="s">
        <v>46</v>
      </c>
      <c r="G606" s="25" t="s">
        <v>125</v>
      </c>
    </row>
    <row r="607" spans="1:7">
      <c r="A607" s="21" t="s">
        <v>735</v>
      </c>
      <c r="B607" s="22" t="s">
        <v>56</v>
      </c>
      <c r="C607" s="22" t="s">
        <v>124</v>
      </c>
      <c r="D607" s="23">
        <v>2</v>
      </c>
      <c r="E607" s="24">
        <f>SUM($D$2:D607)/SUM($D$2:$D$2846)</f>
        <v>0.78572642310960072</v>
      </c>
      <c r="F607" s="22" t="s">
        <v>46</v>
      </c>
      <c r="G607" s="25" t="s">
        <v>125</v>
      </c>
    </row>
    <row r="608" spans="1:7">
      <c r="A608" s="21" t="s">
        <v>736</v>
      </c>
      <c r="B608" s="22" t="s">
        <v>56</v>
      </c>
      <c r="C608" s="22" t="s">
        <v>124</v>
      </c>
      <c r="D608" s="23">
        <v>2</v>
      </c>
      <c r="E608" s="24">
        <f>SUM($D$2:D608)/SUM($D$2:$D$2846)</f>
        <v>0.7858963466440102</v>
      </c>
      <c r="F608" s="22" t="s">
        <v>46</v>
      </c>
      <c r="G608" s="25" t="s">
        <v>125</v>
      </c>
    </row>
    <row r="609" spans="1:7">
      <c r="A609" s="21" t="s">
        <v>737</v>
      </c>
      <c r="B609" s="26" t="s">
        <v>163</v>
      </c>
      <c r="C609" s="22" t="s">
        <v>45</v>
      </c>
      <c r="D609" s="23">
        <v>2</v>
      </c>
      <c r="E609" s="24">
        <f>SUM($D$2:D609)/SUM($D$2:$D$2846)</f>
        <v>0.78606627017841968</v>
      </c>
      <c r="F609" s="22" t="s">
        <v>46</v>
      </c>
      <c r="G609" s="25" t="s">
        <v>164</v>
      </c>
    </row>
    <row r="610" spans="1:7">
      <c r="A610" s="21" t="s">
        <v>738</v>
      </c>
      <c r="B610" s="22" t="s">
        <v>56</v>
      </c>
      <c r="C610" s="22" t="s">
        <v>124</v>
      </c>
      <c r="D610" s="23">
        <v>2</v>
      </c>
      <c r="E610" s="24">
        <f>SUM($D$2:D610)/SUM($D$2:$D$2846)</f>
        <v>0.78623619371282927</v>
      </c>
      <c r="F610" s="22" t="s">
        <v>46</v>
      </c>
      <c r="G610" s="25" t="s">
        <v>125</v>
      </c>
    </row>
    <row r="611" spans="1:7">
      <c r="A611" s="21" t="s">
        <v>739</v>
      </c>
      <c r="B611" s="22" t="s">
        <v>56</v>
      </c>
      <c r="C611" s="22" t="s">
        <v>124</v>
      </c>
      <c r="D611" s="23">
        <v>2</v>
      </c>
      <c r="E611" s="24">
        <f>SUM($D$2:D611)/SUM($D$2:$D$2846)</f>
        <v>0.78640611724723875</v>
      </c>
      <c r="F611" s="22" t="s">
        <v>46</v>
      </c>
      <c r="G611" s="25" t="s">
        <v>125</v>
      </c>
    </row>
    <row r="612" spans="1:7">
      <c r="A612" s="21" t="s">
        <v>740</v>
      </c>
      <c r="B612" s="22" t="s">
        <v>56</v>
      </c>
      <c r="C612" s="22" t="s">
        <v>124</v>
      </c>
      <c r="D612" s="23">
        <v>2</v>
      </c>
      <c r="E612" s="24">
        <f>SUM($D$2:D612)/SUM($D$2:$D$2846)</f>
        <v>0.78657604078164822</v>
      </c>
      <c r="F612" s="22" t="s">
        <v>46</v>
      </c>
      <c r="G612" s="25" t="s">
        <v>125</v>
      </c>
    </row>
    <row r="613" spans="1:7">
      <c r="A613" s="21" t="s">
        <v>741</v>
      </c>
      <c r="B613" s="22" t="s">
        <v>56</v>
      </c>
      <c r="C613" s="22" t="s">
        <v>124</v>
      </c>
      <c r="D613" s="23">
        <v>2</v>
      </c>
      <c r="E613" s="24">
        <f>SUM($D$2:D613)/SUM($D$2:$D$2846)</f>
        <v>0.78674596431605781</v>
      </c>
      <c r="F613" s="22" t="s">
        <v>46</v>
      </c>
      <c r="G613" s="25" t="s">
        <v>125</v>
      </c>
    </row>
    <row r="614" spans="1:7">
      <c r="A614" s="21" t="s">
        <v>742</v>
      </c>
      <c r="B614" s="22" t="s">
        <v>56</v>
      </c>
      <c r="C614" s="22" t="s">
        <v>124</v>
      </c>
      <c r="D614" s="23">
        <v>2</v>
      </c>
      <c r="E614" s="24">
        <f>SUM($D$2:D614)/SUM($D$2:$D$2846)</f>
        <v>0.78691588785046729</v>
      </c>
      <c r="F614" s="22" t="s">
        <v>46</v>
      </c>
      <c r="G614" s="25" t="s">
        <v>125</v>
      </c>
    </row>
    <row r="615" spans="1:7">
      <c r="A615" s="21" t="s">
        <v>743</v>
      </c>
      <c r="B615" s="22" t="s">
        <v>56</v>
      </c>
      <c r="C615" s="22" t="s">
        <v>124</v>
      </c>
      <c r="D615" s="23">
        <v>2</v>
      </c>
      <c r="E615" s="24">
        <f>SUM($D$2:D615)/SUM($D$2:$D$2846)</f>
        <v>0.78708581138487677</v>
      </c>
      <c r="F615" s="22" t="s">
        <v>46</v>
      </c>
      <c r="G615" s="25" t="s">
        <v>125</v>
      </c>
    </row>
    <row r="616" spans="1:7">
      <c r="A616" s="21" t="s">
        <v>744</v>
      </c>
      <c r="B616" s="22" t="s">
        <v>56</v>
      </c>
      <c r="C616" s="22" t="s">
        <v>124</v>
      </c>
      <c r="D616" s="23">
        <v>2</v>
      </c>
      <c r="E616" s="24">
        <f>SUM($D$2:D616)/SUM($D$2:$D$2846)</f>
        <v>0.78725573491928635</v>
      </c>
      <c r="F616" s="22" t="s">
        <v>46</v>
      </c>
      <c r="G616" s="25" t="s">
        <v>125</v>
      </c>
    </row>
    <row r="617" spans="1:7">
      <c r="A617" s="21" t="s">
        <v>745</v>
      </c>
      <c r="B617" s="26" t="s">
        <v>163</v>
      </c>
      <c r="C617" s="22" t="s">
        <v>45</v>
      </c>
      <c r="D617" s="23">
        <v>2</v>
      </c>
      <c r="E617" s="24">
        <f>SUM($D$2:D617)/SUM($D$2:$D$2846)</f>
        <v>0.78742565845369583</v>
      </c>
      <c r="F617" s="22" t="s">
        <v>46</v>
      </c>
      <c r="G617" s="25" t="s">
        <v>164</v>
      </c>
    </row>
    <row r="618" spans="1:7">
      <c r="A618" s="21" t="s">
        <v>746</v>
      </c>
      <c r="B618" s="26" t="s">
        <v>163</v>
      </c>
      <c r="C618" s="22" t="s">
        <v>45</v>
      </c>
      <c r="D618" s="23">
        <v>2</v>
      </c>
      <c r="E618" s="24">
        <f>SUM($D$2:D618)/SUM($D$2:$D$2846)</f>
        <v>0.78759558198810531</v>
      </c>
      <c r="F618" s="22" t="s">
        <v>46</v>
      </c>
      <c r="G618" s="25" t="s">
        <v>164</v>
      </c>
    </row>
    <row r="619" spans="1:7">
      <c r="A619" s="21" t="s">
        <v>747</v>
      </c>
      <c r="B619" s="22" t="s">
        <v>56</v>
      </c>
      <c r="C619" s="22" t="s">
        <v>124</v>
      </c>
      <c r="D619" s="23">
        <v>2</v>
      </c>
      <c r="E619" s="24">
        <f>SUM($D$2:D619)/SUM($D$2:$D$2846)</f>
        <v>0.7877655055225149</v>
      </c>
      <c r="F619" s="22" t="s">
        <v>46</v>
      </c>
      <c r="G619" s="25" t="s">
        <v>125</v>
      </c>
    </row>
    <row r="620" spans="1:7">
      <c r="A620" s="21" t="s">
        <v>748</v>
      </c>
      <c r="B620" s="22" t="s">
        <v>56</v>
      </c>
      <c r="C620" s="22" t="s">
        <v>124</v>
      </c>
      <c r="D620" s="23">
        <v>2</v>
      </c>
      <c r="E620" s="24">
        <f>SUM($D$2:D620)/SUM($D$2:$D$2846)</f>
        <v>0.78793542905692437</v>
      </c>
      <c r="F620" s="22" t="s">
        <v>46</v>
      </c>
      <c r="G620" s="25" t="s">
        <v>125</v>
      </c>
    </row>
    <row r="621" spans="1:7">
      <c r="A621" s="21" t="s">
        <v>749</v>
      </c>
      <c r="B621" s="22" t="s">
        <v>56</v>
      </c>
      <c r="C621" s="22" t="s">
        <v>124</v>
      </c>
      <c r="D621" s="23">
        <v>2</v>
      </c>
      <c r="E621" s="24">
        <f>SUM($D$2:D621)/SUM($D$2:$D$2846)</f>
        <v>0.78810535259133385</v>
      </c>
      <c r="F621" s="22" t="s">
        <v>46</v>
      </c>
      <c r="G621" s="25" t="s">
        <v>125</v>
      </c>
    </row>
    <row r="622" spans="1:7">
      <c r="A622" s="21" t="s">
        <v>750</v>
      </c>
      <c r="B622" s="22" t="s">
        <v>56</v>
      </c>
      <c r="C622" s="22" t="s">
        <v>124</v>
      </c>
      <c r="D622" s="23">
        <v>2</v>
      </c>
      <c r="E622" s="24">
        <f>SUM($D$2:D622)/SUM($D$2:$D$2846)</f>
        <v>0.78827527612574344</v>
      </c>
      <c r="F622" s="22" t="s">
        <v>46</v>
      </c>
      <c r="G622" s="25" t="s">
        <v>125</v>
      </c>
    </row>
    <row r="623" spans="1:7">
      <c r="A623" s="21" t="s">
        <v>751</v>
      </c>
      <c r="B623" s="22" t="s">
        <v>56</v>
      </c>
      <c r="C623" s="22" t="s">
        <v>124</v>
      </c>
      <c r="D623" s="23">
        <v>2</v>
      </c>
      <c r="E623" s="24">
        <f>SUM($D$2:D623)/SUM($D$2:$D$2846)</f>
        <v>0.78844519966015292</v>
      </c>
      <c r="F623" s="22" t="s">
        <v>46</v>
      </c>
      <c r="G623" s="25" t="s">
        <v>125</v>
      </c>
    </row>
    <row r="624" spans="1:7">
      <c r="A624" s="21" t="s">
        <v>752</v>
      </c>
      <c r="B624" s="22" t="s">
        <v>56</v>
      </c>
      <c r="C624" s="22" t="s">
        <v>124</v>
      </c>
      <c r="D624" s="23">
        <v>2</v>
      </c>
      <c r="E624" s="24">
        <f>SUM($D$2:D624)/SUM($D$2:$D$2846)</f>
        <v>0.7886151231945624</v>
      </c>
      <c r="F624" s="22" t="s">
        <v>46</v>
      </c>
      <c r="G624" s="25" t="s">
        <v>125</v>
      </c>
    </row>
    <row r="625" spans="1:7">
      <c r="A625" s="21" t="s">
        <v>753</v>
      </c>
      <c r="B625" s="26" t="s">
        <v>163</v>
      </c>
      <c r="C625" s="22" t="s">
        <v>45</v>
      </c>
      <c r="D625" s="23">
        <v>2</v>
      </c>
      <c r="E625" s="24">
        <f>SUM($D$2:D625)/SUM($D$2:$D$2846)</f>
        <v>0.78878504672897198</v>
      </c>
      <c r="F625" s="22" t="s">
        <v>46</v>
      </c>
      <c r="G625" s="25" t="s">
        <v>164</v>
      </c>
    </row>
    <row r="626" spans="1:7">
      <c r="A626" s="21" t="s">
        <v>754</v>
      </c>
      <c r="B626" s="22" t="s">
        <v>56</v>
      </c>
      <c r="C626" s="22" t="s">
        <v>124</v>
      </c>
      <c r="D626" s="23">
        <v>2</v>
      </c>
      <c r="E626" s="24">
        <f>SUM($D$2:D626)/SUM($D$2:$D$2846)</f>
        <v>0.78895497026338146</v>
      </c>
      <c r="F626" s="22" t="s">
        <v>46</v>
      </c>
      <c r="G626" s="25" t="s">
        <v>125</v>
      </c>
    </row>
    <row r="627" spans="1:7">
      <c r="A627" s="21" t="s">
        <v>755</v>
      </c>
      <c r="B627" s="22" t="s">
        <v>56</v>
      </c>
      <c r="C627" s="22" t="s">
        <v>124</v>
      </c>
      <c r="D627" s="23">
        <v>2</v>
      </c>
      <c r="E627" s="24">
        <f>SUM($D$2:D627)/SUM($D$2:$D$2846)</f>
        <v>0.78912489379779105</v>
      </c>
      <c r="F627" s="22" t="s">
        <v>46</v>
      </c>
      <c r="G627" s="25" t="s">
        <v>125</v>
      </c>
    </row>
    <row r="628" spans="1:7">
      <c r="A628" s="21" t="s">
        <v>756</v>
      </c>
      <c r="B628" s="22" t="s">
        <v>56</v>
      </c>
      <c r="C628" s="22" t="s">
        <v>124</v>
      </c>
      <c r="D628" s="23">
        <v>2</v>
      </c>
      <c r="E628" s="24">
        <f>SUM($D$2:D628)/SUM($D$2:$D$2846)</f>
        <v>0.78929481733220053</v>
      </c>
      <c r="F628" s="22" t="s">
        <v>46</v>
      </c>
      <c r="G628" s="25" t="s">
        <v>125</v>
      </c>
    </row>
    <row r="629" spans="1:7">
      <c r="A629" s="21" t="s">
        <v>757</v>
      </c>
      <c r="B629" s="22" t="s">
        <v>56</v>
      </c>
      <c r="C629" s="22" t="s">
        <v>124</v>
      </c>
      <c r="D629" s="23">
        <v>2</v>
      </c>
      <c r="E629" s="24">
        <f>SUM($D$2:D629)/SUM($D$2:$D$2846)</f>
        <v>0.78946474086661</v>
      </c>
      <c r="F629" s="22" t="s">
        <v>46</v>
      </c>
      <c r="G629" s="25" t="s">
        <v>125</v>
      </c>
    </row>
    <row r="630" spans="1:7">
      <c r="A630" s="21" t="s">
        <v>758</v>
      </c>
      <c r="B630" s="22" t="s">
        <v>56</v>
      </c>
      <c r="C630" s="22" t="s">
        <v>124</v>
      </c>
      <c r="D630" s="23">
        <v>2</v>
      </c>
      <c r="E630" s="24">
        <f>SUM($D$2:D630)/SUM($D$2:$D$2846)</f>
        <v>0.78963466440101959</v>
      </c>
      <c r="F630" s="22" t="s">
        <v>46</v>
      </c>
      <c r="G630" s="25" t="s">
        <v>125</v>
      </c>
    </row>
    <row r="631" spans="1:7">
      <c r="A631" s="21" t="s">
        <v>759</v>
      </c>
      <c r="B631" s="22" t="s">
        <v>56</v>
      </c>
      <c r="C631" s="22" t="s">
        <v>124</v>
      </c>
      <c r="D631" s="23">
        <v>2</v>
      </c>
      <c r="E631" s="24">
        <f>SUM($D$2:D631)/SUM($D$2:$D$2846)</f>
        <v>0.78980458793542907</v>
      </c>
      <c r="F631" s="22" t="s">
        <v>46</v>
      </c>
      <c r="G631" s="25" t="s">
        <v>125</v>
      </c>
    </row>
    <row r="632" spans="1:7">
      <c r="A632" s="21" t="s">
        <v>760</v>
      </c>
      <c r="B632" s="22" t="s">
        <v>56</v>
      </c>
      <c r="C632" s="22" t="s">
        <v>124</v>
      </c>
      <c r="D632" s="23">
        <v>2</v>
      </c>
      <c r="E632" s="24">
        <f>SUM($D$2:D632)/SUM($D$2:$D$2846)</f>
        <v>0.78997451146983855</v>
      </c>
      <c r="F632" s="22" t="s">
        <v>46</v>
      </c>
      <c r="G632" s="25" t="s">
        <v>125</v>
      </c>
    </row>
    <row r="633" spans="1:7">
      <c r="A633" s="21" t="s">
        <v>761</v>
      </c>
      <c r="B633" s="22" t="s">
        <v>56</v>
      </c>
      <c r="C633" s="22" t="s">
        <v>124</v>
      </c>
      <c r="D633" s="23">
        <v>2</v>
      </c>
      <c r="E633" s="24">
        <f>SUM($D$2:D633)/SUM($D$2:$D$2846)</f>
        <v>0.79014443500424814</v>
      </c>
      <c r="F633" s="22" t="s">
        <v>46</v>
      </c>
      <c r="G633" s="25" t="s">
        <v>125</v>
      </c>
    </row>
    <row r="634" spans="1:7">
      <c r="A634" s="21" t="s">
        <v>762</v>
      </c>
      <c r="B634" s="22" t="s">
        <v>56</v>
      </c>
      <c r="C634" s="22" t="s">
        <v>124</v>
      </c>
      <c r="D634" s="23">
        <v>2</v>
      </c>
      <c r="E634" s="24">
        <f>SUM($D$2:D634)/SUM($D$2:$D$2846)</f>
        <v>0.79031435853865761</v>
      </c>
      <c r="F634" s="22" t="s">
        <v>46</v>
      </c>
      <c r="G634" s="25" t="s">
        <v>125</v>
      </c>
    </row>
    <row r="635" spans="1:7">
      <c r="A635" s="21" t="s">
        <v>763</v>
      </c>
      <c r="B635" s="22" t="s">
        <v>56</v>
      </c>
      <c r="C635" s="22" t="s">
        <v>124</v>
      </c>
      <c r="D635" s="23">
        <v>2</v>
      </c>
      <c r="E635" s="24">
        <f>SUM($D$2:D635)/SUM($D$2:$D$2846)</f>
        <v>0.79048428207306709</v>
      </c>
      <c r="F635" s="22" t="s">
        <v>46</v>
      </c>
      <c r="G635" s="25" t="s">
        <v>125</v>
      </c>
    </row>
    <row r="636" spans="1:7">
      <c r="A636" s="21" t="s">
        <v>764</v>
      </c>
      <c r="B636" s="22" t="s">
        <v>56</v>
      </c>
      <c r="C636" s="22" t="s">
        <v>124</v>
      </c>
      <c r="D636" s="23">
        <v>2</v>
      </c>
      <c r="E636" s="24">
        <f>SUM($D$2:D636)/SUM($D$2:$D$2846)</f>
        <v>0.79065420560747668</v>
      </c>
      <c r="F636" s="22" t="s">
        <v>46</v>
      </c>
      <c r="G636" s="25" t="s">
        <v>125</v>
      </c>
    </row>
    <row r="637" spans="1:7">
      <c r="A637" s="21" t="s">
        <v>765</v>
      </c>
      <c r="B637" s="22" t="s">
        <v>56</v>
      </c>
      <c r="C637" s="22" t="s">
        <v>124</v>
      </c>
      <c r="D637" s="23">
        <v>2</v>
      </c>
      <c r="E637" s="24">
        <f>SUM($D$2:D637)/SUM($D$2:$D$2846)</f>
        <v>0.79082412914188616</v>
      </c>
      <c r="F637" s="22" t="s">
        <v>46</v>
      </c>
      <c r="G637" s="25" t="s">
        <v>125</v>
      </c>
    </row>
    <row r="638" spans="1:7">
      <c r="A638" s="21" t="s">
        <v>766</v>
      </c>
      <c r="B638" s="26" t="s">
        <v>163</v>
      </c>
      <c r="C638" s="22" t="s">
        <v>45</v>
      </c>
      <c r="D638" s="23">
        <v>2</v>
      </c>
      <c r="E638" s="24">
        <f>SUM($D$2:D638)/SUM($D$2:$D$2846)</f>
        <v>0.79099405267629563</v>
      </c>
      <c r="F638" s="22" t="s">
        <v>46</v>
      </c>
      <c r="G638" s="25" t="s">
        <v>164</v>
      </c>
    </row>
    <row r="639" spans="1:7">
      <c r="A639" s="21" t="s">
        <v>767</v>
      </c>
      <c r="B639" s="22" t="s">
        <v>129</v>
      </c>
      <c r="C639" s="22" t="s">
        <v>124</v>
      </c>
      <c r="D639" s="23">
        <v>2</v>
      </c>
      <c r="E639" s="24">
        <f>SUM($D$2:D639)/SUM($D$2:$D$2846)</f>
        <v>0.79116397621070522</v>
      </c>
      <c r="F639" s="22" t="s">
        <v>46</v>
      </c>
      <c r="G639" s="25" t="s">
        <v>130</v>
      </c>
    </row>
    <row r="640" spans="1:7">
      <c r="A640" s="21" t="s">
        <v>768</v>
      </c>
      <c r="B640" s="22" t="s">
        <v>56</v>
      </c>
      <c r="C640" s="22" t="s">
        <v>124</v>
      </c>
      <c r="D640" s="23">
        <v>2</v>
      </c>
      <c r="E640" s="24">
        <f>SUM($D$2:D640)/SUM($D$2:$D$2846)</f>
        <v>0.7913338997451147</v>
      </c>
      <c r="F640" s="22" t="s">
        <v>46</v>
      </c>
      <c r="G640" s="25" t="s">
        <v>125</v>
      </c>
    </row>
    <row r="641" spans="1:7">
      <c r="A641" s="21" t="s">
        <v>769</v>
      </c>
      <c r="B641" s="22" t="s">
        <v>56</v>
      </c>
      <c r="C641" s="22" t="s">
        <v>124</v>
      </c>
      <c r="D641" s="23">
        <v>2</v>
      </c>
      <c r="E641" s="24">
        <f>SUM($D$2:D641)/SUM($D$2:$D$2846)</f>
        <v>0.79150382327952418</v>
      </c>
      <c r="F641" s="22" t="s">
        <v>46</v>
      </c>
      <c r="G641" s="25" t="s">
        <v>125</v>
      </c>
    </row>
    <row r="642" spans="1:7">
      <c r="A642" s="21" t="s">
        <v>770</v>
      </c>
      <c r="B642" s="22" t="s">
        <v>56</v>
      </c>
      <c r="C642" s="22" t="s">
        <v>124</v>
      </c>
      <c r="D642" s="23">
        <v>2</v>
      </c>
      <c r="E642" s="24">
        <f>SUM($D$2:D642)/SUM($D$2:$D$2846)</f>
        <v>0.79167374681393377</v>
      </c>
      <c r="F642" s="22" t="s">
        <v>46</v>
      </c>
      <c r="G642" s="25" t="s">
        <v>125</v>
      </c>
    </row>
    <row r="643" spans="1:7">
      <c r="A643" s="21" t="s">
        <v>771</v>
      </c>
      <c r="B643" s="22" t="s">
        <v>56</v>
      </c>
      <c r="C643" s="22" t="s">
        <v>124</v>
      </c>
      <c r="D643" s="23">
        <v>2</v>
      </c>
      <c r="E643" s="24">
        <f>SUM($D$2:D643)/SUM($D$2:$D$2846)</f>
        <v>0.79184367034834324</v>
      </c>
      <c r="F643" s="22" t="s">
        <v>46</v>
      </c>
      <c r="G643" s="25" t="s">
        <v>125</v>
      </c>
    </row>
    <row r="644" spans="1:7">
      <c r="A644" s="21" t="s">
        <v>772</v>
      </c>
      <c r="B644" s="22" t="s">
        <v>129</v>
      </c>
      <c r="C644" s="22" t="s">
        <v>124</v>
      </c>
      <c r="D644" s="23">
        <v>2</v>
      </c>
      <c r="E644" s="24">
        <f>SUM($D$2:D644)/SUM($D$2:$D$2846)</f>
        <v>0.79201359388275272</v>
      </c>
      <c r="F644" s="22" t="s">
        <v>46</v>
      </c>
      <c r="G644" s="25" t="s">
        <v>130</v>
      </c>
    </row>
    <row r="645" spans="1:7">
      <c r="A645" s="21" t="s">
        <v>773</v>
      </c>
      <c r="B645" s="22" t="s">
        <v>56</v>
      </c>
      <c r="C645" s="22" t="s">
        <v>124</v>
      </c>
      <c r="D645" s="23">
        <v>2</v>
      </c>
      <c r="E645" s="24">
        <f>SUM($D$2:D645)/SUM($D$2:$D$2846)</f>
        <v>0.79218351741716231</v>
      </c>
      <c r="F645" s="22" t="s">
        <v>46</v>
      </c>
      <c r="G645" s="25" t="s">
        <v>125</v>
      </c>
    </row>
    <row r="646" spans="1:7">
      <c r="A646" s="21" t="s">
        <v>774</v>
      </c>
      <c r="B646" s="22" t="s">
        <v>56</v>
      </c>
      <c r="C646" s="22" t="s">
        <v>124</v>
      </c>
      <c r="D646" s="23">
        <v>2</v>
      </c>
      <c r="E646" s="24">
        <f>SUM($D$2:D646)/SUM($D$2:$D$2846)</f>
        <v>0.79235344095157179</v>
      </c>
      <c r="F646" s="22" t="s">
        <v>46</v>
      </c>
      <c r="G646" s="25" t="s">
        <v>125</v>
      </c>
    </row>
    <row r="647" spans="1:7">
      <c r="A647" s="21" t="s">
        <v>775</v>
      </c>
      <c r="B647" s="22" t="s">
        <v>56</v>
      </c>
      <c r="C647" s="22" t="s">
        <v>124</v>
      </c>
      <c r="D647" s="23">
        <v>2</v>
      </c>
      <c r="E647" s="24">
        <f>SUM($D$2:D647)/SUM($D$2:$D$2846)</f>
        <v>0.79252336448598126</v>
      </c>
      <c r="F647" s="22" t="s">
        <v>46</v>
      </c>
      <c r="G647" s="25" t="s">
        <v>125</v>
      </c>
    </row>
    <row r="648" spans="1:7">
      <c r="A648" s="21" t="s">
        <v>776</v>
      </c>
      <c r="B648" s="22" t="s">
        <v>44</v>
      </c>
      <c r="C648" s="22" t="s">
        <v>124</v>
      </c>
      <c r="D648" s="23">
        <v>2</v>
      </c>
      <c r="E648" s="24">
        <f>SUM($D$2:D648)/SUM($D$2:$D$2846)</f>
        <v>0.79269328802039085</v>
      </c>
      <c r="F648" s="22" t="s">
        <v>46</v>
      </c>
      <c r="G648" s="25" t="s">
        <v>194</v>
      </c>
    </row>
    <row r="649" spans="1:7">
      <c r="A649" s="21" t="s">
        <v>777</v>
      </c>
      <c r="B649" s="26" t="s">
        <v>163</v>
      </c>
      <c r="C649" s="22" t="s">
        <v>45</v>
      </c>
      <c r="D649" s="23">
        <v>2</v>
      </c>
      <c r="E649" s="24">
        <f>SUM($D$2:D649)/SUM($D$2:$D$2846)</f>
        <v>0.79286321155480033</v>
      </c>
      <c r="F649" s="22" t="s">
        <v>46</v>
      </c>
      <c r="G649" s="25" t="s">
        <v>164</v>
      </c>
    </row>
    <row r="650" spans="1:7">
      <c r="A650" s="21" t="s">
        <v>778</v>
      </c>
      <c r="B650" s="22" t="s">
        <v>56</v>
      </c>
      <c r="C650" s="22" t="s">
        <v>124</v>
      </c>
      <c r="D650" s="23">
        <v>2</v>
      </c>
      <c r="E650" s="24">
        <f>SUM($D$2:D650)/SUM($D$2:$D$2846)</f>
        <v>0.79303313508920981</v>
      </c>
      <c r="F650" s="22" t="s">
        <v>46</v>
      </c>
      <c r="G650" s="25" t="s">
        <v>125</v>
      </c>
    </row>
    <row r="651" spans="1:7">
      <c r="A651" s="21" t="s">
        <v>779</v>
      </c>
      <c r="B651" s="22" t="s">
        <v>56</v>
      </c>
      <c r="C651" s="22" t="s">
        <v>124</v>
      </c>
      <c r="D651" s="23">
        <v>2</v>
      </c>
      <c r="E651" s="24">
        <f>SUM($D$2:D651)/SUM($D$2:$D$2846)</f>
        <v>0.79320305862361939</v>
      </c>
      <c r="F651" s="22" t="s">
        <v>46</v>
      </c>
      <c r="G651" s="25" t="s">
        <v>125</v>
      </c>
    </row>
    <row r="652" spans="1:7">
      <c r="A652" s="21" t="s">
        <v>780</v>
      </c>
      <c r="B652" s="22" t="s">
        <v>56</v>
      </c>
      <c r="C652" s="22" t="s">
        <v>124</v>
      </c>
      <c r="D652" s="23">
        <v>2</v>
      </c>
      <c r="E652" s="24">
        <f>SUM($D$2:D652)/SUM($D$2:$D$2846)</f>
        <v>0.79337298215802887</v>
      </c>
      <c r="F652" s="22" t="s">
        <v>46</v>
      </c>
      <c r="G652" s="25" t="s">
        <v>125</v>
      </c>
    </row>
    <row r="653" spans="1:7">
      <c r="A653" s="21" t="s">
        <v>781</v>
      </c>
      <c r="B653" s="22" t="s">
        <v>56</v>
      </c>
      <c r="C653" s="22" t="s">
        <v>124</v>
      </c>
      <c r="D653" s="23">
        <v>2</v>
      </c>
      <c r="E653" s="24">
        <f>SUM($D$2:D653)/SUM($D$2:$D$2846)</f>
        <v>0.79354290569243835</v>
      </c>
      <c r="F653" s="22" t="s">
        <v>46</v>
      </c>
      <c r="G653" s="25" t="s">
        <v>125</v>
      </c>
    </row>
    <row r="654" spans="1:7">
      <c r="A654" s="21" t="s">
        <v>782</v>
      </c>
      <c r="B654" s="22" t="s">
        <v>56</v>
      </c>
      <c r="C654" s="22" t="s">
        <v>124</v>
      </c>
      <c r="D654" s="23">
        <v>2</v>
      </c>
      <c r="E654" s="24">
        <f>SUM($D$2:D654)/SUM($D$2:$D$2846)</f>
        <v>0.79371282922684794</v>
      </c>
      <c r="F654" s="22" t="s">
        <v>46</v>
      </c>
      <c r="G654" s="25" t="s">
        <v>125</v>
      </c>
    </row>
    <row r="655" spans="1:7">
      <c r="A655" s="21" t="s">
        <v>783</v>
      </c>
      <c r="B655" s="22" t="s">
        <v>56</v>
      </c>
      <c r="C655" s="22" t="s">
        <v>124</v>
      </c>
      <c r="D655" s="23">
        <v>2</v>
      </c>
      <c r="E655" s="24">
        <f>SUM($D$2:D655)/SUM($D$2:$D$2846)</f>
        <v>0.79388275276125742</v>
      </c>
      <c r="F655" s="22" t="s">
        <v>53</v>
      </c>
      <c r="G655" s="25" t="s">
        <v>125</v>
      </c>
    </row>
    <row r="656" spans="1:7">
      <c r="A656" s="21" t="s">
        <v>784</v>
      </c>
      <c r="B656" s="22" t="s">
        <v>56</v>
      </c>
      <c r="C656" s="22" t="s">
        <v>124</v>
      </c>
      <c r="D656" s="23">
        <v>2</v>
      </c>
      <c r="E656" s="24">
        <f>SUM($D$2:D656)/SUM($D$2:$D$2846)</f>
        <v>0.794052676295667</v>
      </c>
      <c r="F656" s="22" t="s">
        <v>53</v>
      </c>
      <c r="G656" s="25" t="s">
        <v>125</v>
      </c>
    </row>
    <row r="657" spans="1:7">
      <c r="A657" s="21" t="s">
        <v>785</v>
      </c>
      <c r="B657" s="22" t="s">
        <v>56</v>
      </c>
      <c r="C657" s="22" t="s">
        <v>124</v>
      </c>
      <c r="D657" s="23">
        <v>2</v>
      </c>
      <c r="E657" s="24">
        <f>SUM($D$2:D657)/SUM($D$2:$D$2846)</f>
        <v>0.79422259983007648</v>
      </c>
      <c r="F657" s="22" t="s">
        <v>53</v>
      </c>
      <c r="G657" s="25" t="s">
        <v>125</v>
      </c>
    </row>
    <row r="658" spans="1:7">
      <c r="A658" s="21" t="s">
        <v>786</v>
      </c>
      <c r="B658" s="22" t="s">
        <v>56</v>
      </c>
      <c r="C658" s="22" t="s">
        <v>124</v>
      </c>
      <c r="D658" s="23">
        <v>2</v>
      </c>
      <c r="E658" s="24">
        <f>SUM($D$2:D658)/SUM($D$2:$D$2846)</f>
        <v>0.79439252336448596</v>
      </c>
      <c r="F658" s="22" t="s">
        <v>53</v>
      </c>
      <c r="G658" s="25" t="s">
        <v>125</v>
      </c>
    </row>
    <row r="659" spans="1:7">
      <c r="A659" s="21" t="s">
        <v>787</v>
      </c>
      <c r="B659" s="22" t="s">
        <v>56</v>
      </c>
      <c r="C659" s="22" t="s">
        <v>124</v>
      </c>
      <c r="D659" s="23">
        <v>2</v>
      </c>
      <c r="E659" s="24">
        <f>SUM($D$2:D659)/SUM($D$2:$D$2846)</f>
        <v>0.79456244689889555</v>
      </c>
      <c r="F659" s="22" t="s">
        <v>53</v>
      </c>
      <c r="G659" s="25" t="s">
        <v>125</v>
      </c>
    </row>
    <row r="660" spans="1:7">
      <c r="A660" s="21" t="s">
        <v>788</v>
      </c>
      <c r="B660" s="22" t="s">
        <v>56</v>
      </c>
      <c r="C660" s="22" t="s">
        <v>124</v>
      </c>
      <c r="D660" s="23">
        <v>2</v>
      </c>
      <c r="E660" s="24">
        <f>SUM($D$2:D660)/SUM($D$2:$D$2846)</f>
        <v>0.79473237043330502</v>
      </c>
      <c r="F660" s="22" t="s">
        <v>53</v>
      </c>
      <c r="G660" s="25" t="s">
        <v>125</v>
      </c>
    </row>
    <row r="661" spans="1:7">
      <c r="A661" s="21" t="s">
        <v>789</v>
      </c>
      <c r="B661" s="22" t="s">
        <v>56</v>
      </c>
      <c r="C661" s="22" t="s">
        <v>124</v>
      </c>
      <c r="D661" s="23">
        <v>2</v>
      </c>
      <c r="E661" s="24">
        <f>SUM($D$2:D661)/SUM($D$2:$D$2846)</f>
        <v>0.7949022939677145</v>
      </c>
      <c r="F661" s="22" t="s">
        <v>53</v>
      </c>
      <c r="G661" s="25" t="s">
        <v>125</v>
      </c>
    </row>
    <row r="662" spans="1:7">
      <c r="A662" s="21" t="s">
        <v>790</v>
      </c>
      <c r="B662" s="22" t="s">
        <v>56</v>
      </c>
      <c r="C662" s="22" t="s">
        <v>124</v>
      </c>
      <c r="D662" s="23">
        <v>2</v>
      </c>
      <c r="E662" s="24">
        <f>SUM($D$2:D662)/SUM($D$2:$D$2846)</f>
        <v>0.79507221750212409</v>
      </c>
      <c r="F662" s="22" t="s">
        <v>53</v>
      </c>
      <c r="G662" s="25" t="s">
        <v>125</v>
      </c>
    </row>
    <row r="663" spans="1:7">
      <c r="A663" s="21" t="s">
        <v>791</v>
      </c>
      <c r="B663" s="22" t="s">
        <v>56</v>
      </c>
      <c r="C663" s="22" t="s">
        <v>124</v>
      </c>
      <c r="D663" s="23">
        <v>2</v>
      </c>
      <c r="E663" s="24">
        <f>SUM($D$2:D663)/SUM($D$2:$D$2846)</f>
        <v>0.79524214103653357</v>
      </c>
      <c r="F663" s="22" t="s">
        <v>53</v>
      </c>
      <c r="G663" s="25" t="s">
        <v>125</v>
      </c>
    </row>
    <row r="664" spans="1:7">
      <c r="A664" s="21" t="s">
        <v>792</v>
      </c>
      <c r="B664" s="22" t="s">
        <v>56</v>
      </c>
      <c r="C664" s="22" t="s">
        <v>124</v>
      </c>
      <c r="D664" s="23">
        <v>2</v>
      </c>
      <c r="E664" s="24">
        <f>SUM($D$2:D664)/SUM($D$2:$D$2846)</f>
        <v>0.79541206457094304</v>
      </c>
      <c r="F664" s="22" t="s">
        <v>53</v>
      </c>
      <c r="G664" s="25" t="s">
        <v>125</v>
      </c>
    </row>
    <row r="665" spans="1:7">
      <c r="A665" s="21" t="s">
        <v>793</v>
      </c>
      <c r="B665" s="22" t="s">
        <v>44</v>
      </c>
      <c r="C665" s="22" t="s">
        <v>124</v>
      </c>
      <c r="D665" s="23">
        <v>2</v>
      </c>
      <c r="E665" s="24">
        <f>SUM($D$2:D665)/SUM($D$2:$D$2846)</f>
        <v>0.79558198810535263</v>
      </c>
      <c r="F665" s="22" t="s">
        <v>53</v>
      </c>
      <c r="G665" s="25" t="s">
        <v>194</v>
      </c>
    </row>
    <row r="666" spans="1:7">
      <c r="A666" s="21" t="s">
        <v>794</v>
      </c>
      <c r="B666" s="22" t="s">
        <v>44</v>
      </c>
      <c r="C666" s="22" t="s">
        <v>124</v>
      </c>
      <c r="D666" s="23">
        <v>2</v>
      </c>
      <c r="E666" s="24">
        <f>SUM($D$2:D666)/SUM($D$2:$D$2846)</f>
        <v>0.79575191163976211</v>
      </c>
      <c r="F666" s="22" t="s">
        <v>53</v>
      </c>
      <c r="G666" s="25" t="s">
        <v>194</v>
      </c>
    </row>
    <row r="667" spans="1:7">
      <c r="A667" s="21" t="s">
        <v>795</v>
      </c>
      <c r="B667" s="22" t="s">
        <v>56</v>
      </c>
      <c r="C667" s="22" t="s">
        <v>124</v>
      </c>
      <c r="D667" s="23">
        <v>2</v>
      </c>
      <c r="E667" s="24">
        <f>SUM($D$2:D667)/SUM($D$2:$D$2846)</f>
        <v>0.79592183517417159</v>
      </c>
      <c r="F667" s="22" t="s">
        <v>53</v>
      </c>
      <c r="G667" s="25" t="s">
        <v>125</v>
      </c>
    </row>
    <row r="668" spans="1:7">
      <c r="A668" s="21" t="s">
        <v>796</v>
      </c>
      <c r="B668" s="22" t="s">
        <v>56</v>
      </c>
      <c r="C668" s="22" t="s">
        <v>124</v>
      </c>
      <c r="D668" s="23">
        <v>2</v>
      </c>
      <c r="E668" s="24">
        <f>SUM($D$2:D668)/SUM($D$2:$D$2846)</f>
        <v>0.79609175870858118</v>
      </c>
      <c r="F668" s="22" t="s">
        <v>53</v>
      </c>
      <c r="G668" s="25" t="s">
        <v>125</v>
      </c>
    </row>
    <row r="669" spans="1:7">
      <c r="A669" s="21" t="s">
        <v>797</v>
      </c>
      <c r="B669" s="22" t="s">
        <v>56</v>
      </c>
      <c r="C669" s="22" t="s">
        <v>124</v>
      </c>
      <c r="D669" s="23">
        <v>2</v>
      </c>
      <c r="E669" s="24">
        <f>SUM($D$2:D669)/SUM($D$2:$D$2846)</f>
        <v>0.79626168224299065</v>
      </c>
      <c r="F669" s="22" t="s">
        <v>53</v>
      </c>
      <c r="G669" s="25" t="s">
        <v>125</v>
      </c>
    </row>
    <row r="670" spans="1:7">
      <c r="A670" s="21" t="s">
        <v>798</v>
      </c>
      <c r="B670" s="22" t="s">
        <v>56</v>
      </c>
      <c r="C670" s="22" t="s">
        <v>124</v>
      </c>
      <c r="D670" s="23">
        <v>2</v>
      </c>
      <c r="E670" s="24">
        <f>SUM($D$2:D670)/SUM($D$2:$D$2846)</f>
        <v>0.79643160577740013</v>
      </c>
      <c r="F670" s="22" t="s">
        <v>53</v>
      </c>
      <c r="G670" s="25" t="s">
        <v>125</v>
      </c>
    </row>
    <row r="671" spans="1:7">
      <c r="A671" s="21" t="s">
        <v>799</v>
      </c>
      <c r="B671" s="22" t="s">
        <v>56</v>
      </c>
      <c r="C671" s="22" t="s">
        <v>124</v>
      </c>
      <c r="D671" s="23">
        <v>2</v>
      </c>
      <c r="E671" s="24">
        <f>SUM($D$2:D671)/SUM($D$2:$D$2846)</f>
        <v>0.79660152931180972</v>
      </c>
      <c r="F671" s="22" t="s">
        <v>53</v>
      </c>
      <c r="G671" s="25" t="s">
        <v>125</v>
      </c>
    </row>
    <row r="672" spans="1:7">
      <c r="A672" s="21" t="s">
        <v>800</v>
      </c>
      <c r="B672" s="22" t="s">
        <v>56</v>
      </c>
      <c r="C672" s="22" t="s">
        <v>124</v>
      </c>
      <c r="D672" s="23">
        <v>2</v>
      </c>
      <c r="E672" s="24">
        <f>SUM($D$2:D672)/SUM($D$2:$D$2846)</f>
        <v>0.7967714528462192</v>
      </c>
      <c r="F672" s="22" t="s">
        <v>53</v>
      </c>
      <c r="G672" s="25" t="s">
        <v>125</v>
      </c>
    </row>
    <row r="673" spans="1:7">
      <c r="A673" s="21" t="s">
        <v>801</v>
      </c>
      <c r="B673" s="22" t="s">
        <v>56</v>
      </c>
      <c r="C673" s="22" t="s">
        <v>124</v>
      </c>
      <c r="D673" s="23">
        <v>2</v>
      </c>
      <c r="E673" s="24">
        <f>SUM($D$2:D673)/SUM($D$2:$D$2846)</f>
        <v>0.79694137638062867</v>
      </c>
      <c r="F673" s="22" t="s">
        <v>53</v>
      </c>
      <c r="G673" s="25" t="s">
        <v>125</v>
      </c>
    </row>
    <row r="674" spans="1:7">
      <c r="A674" s="21" t="s">
        <v>802</v>
      </c>
      <c r="B674" s="22" t="s">
        <v>56</v>
      </c>
      <c r="C674" s="22" t="s">
        <v>124</v>
      </c>
      <c r="D674" s="23">
        <v>2</v>
      </c>
      <c r="E674" s="24">
        <f>SUM($D$2:D674)/SUM($D$2:$D$2846)</f>
        <v>0.79711129991503826</v>
      </c>
      <c r="F674" s="22" t="s">
        <v>53</v>
      </c>
      <c r="G674" s="25" t="s">
        <v>125</v>
      </c>
    </row>
    <row r="675" spans="1:7">
      <c r="A675" s="21" t="s">
        <v>803</v>
      </c>
      <c r="B675" s="22" t="s">
        <v>56</v>
      </c>
      <c r="C675" s="22" t="s">
        <v>124</v>
      </c>
      <c r="D675" s="23">
        <v>2</v>
      </c>
      <c r="E675" s="24">
        <f>SUM($D$2:D675)/SUM($D$2:$D$2846)</f>
        <v>0.79728122344944774</v>
      </c>
      <c r="F675" s="22" t="s">
        <v>53</v>
      </c>
      <c r="G675" s="25" t="s">
        <v>125</v>
      </c>
    </row>
    <row r="676" spans="1:7">
      <c r="A676" s="21" t="s">
        <v>804</v>
      </c>
      <c r="B676" s="22" t="s">
        <v>56</v>
      </c>
      <c r="C676" s="22" t="s">
        <v>124</v>
      </c>
      <c r="D676" s="23">
        <v>2</v>
      </c>
      <c r="E676" s="24">
        <f>SUM($D$2:D676)/SUM($D$2:$D$2846)</f>
        <v>0.79745114698385722</v>
      </c>
      <c r="F676" s="22" t="s">
        <v>53</v>
      </c>
      <c r="G676" s="25" t="s">
        <v>125</v>
      </c>
    </row>
    <row r="677" spans="1:7">
      <c r="A677" s="21" t="s">
        <v>805</v>
      </c>
      <c r="B677" s="26" t="s">
        <v>163</v>
      </c>
      <c r="C677" s="22" t="s">
        <v>45</v>
      </c>
      <c r="D677" s="23">
        <v>2</v>
      </c>
      <c r="E677" s="24">
        <f>SUM($D$2:D677)/SUM($D$2:$D$2846)</f>
        <v>0.79762107051826681</v>
      </c>
      <c r="F677" s="22" t="s">
        <v>53</v>
      </c>
      <c r="G677" s="25" t="s">
        <v>164</v>
      </c>
    </row>
    <row r="678" spans="1:7">
      <c r="A678" s="21" t="s">
        <v>806</v>
      </c>
      <c r="B678" s="22" t="s">
        <v>56</v>
      </c>
      <c r="C678" s="22" t="s">
        <v>124</v>
      </c>
      <c r="D678" s="23">
        <v>2</v>
      </c>
      <c r="E678" s="24">
        <f>SUM($D$2:D678)/SUM($D$2:$D$2846)</f>
        <v>0.79779099405267628</v>
      </c>
      <c r="F678" s="22" t="s">
        <v>53</v>
      </c>
      <c r="G678" s="25" t="s">
        <v>125</v>
      </c>
    </row>
    <row r="679" spans="1:7">
      <c r="A679" s="21" t="s">
        <v>807</v>
      </c>
      <c r="B679" s="22" t="s">
        <v>56</v>
      </c>
      <c r="C679" s="22" t="s">
        <v>124</v>
      </c>
      <c r="D679" s="23">
        <v>2</v>
      </c>
      <c r="E679" s="24">
        <f>SUM($D$2:D679)/SUM($D$2:$D$2846)</f>
        <v>0.79796091758708576</v>
      </c>
      <c r="F679" s="22" t="s">
        <v>53</v>
      </c>
      <c r="G679" s="25" t="s">
        <v>125</v>
      </c>
    </row>
    <row r="680" spans="1:7">
      <c r="A680" s="21" t="s">
        <v>808</v>
      </c>
      <c r="B680" s="22" t="s">
        <v>56</v>
      </c>
      <c r="C680" s="22" t="s">
        <v>124</v>
      </c>
      <c r="D680" s="23">
        <v>2</v>
      </c>
      <c r="E680" s="24">
        <f>SUM($D$2:D680)/SUM($D$2:$D$2846)</f>
        <v>0.79813084112149535</v>
      </c>
      <c r="F680" s="22" t="s">
        <v>53</v>
      </c>
      <c r="G680" s="25" t="s">
        <v>125</v>
      </c>
    </row>
    <row r="681" spans="1:7">
      <c r="A681" s="21" t="s">
        <v>809</v>
      </c>
      <c r="B681" s="22" t="s">
        <v>56</v>
      </c>
      <c r="C681" s="22" t="s">
        <v>124</v>
      </c>
      <c r="D681" s="23">
        <v>2</v>
      </c>
      <c r="E681" s="24">
        <f>SUM($D$2:D681)/SUM($D$2:$D$2846)</f>
        <v>0.79830076465590483</v>
      </c>
      <c r="F681" s="22" t="s">
        <v>53</v>
      </c>
      <c r="G681" s="25" t="s">
        <v>125</v>
      </c>
    </row>
    <row r="682" spans="1:7">
      <c r="A682" s="21" t="s">
        <v>810</v>
      </c>
      <c r="B682" s="22" t="s">
        <v>56</v>
      </c>
      <c r="C682" s="22" t="s">
        <v>124</v>
      </c>
      <c r="D682" s="23">
        <v>2</v>
      </c>
      <c r="E682" s="24">
        <f>SUM($D$2:D682)/SUM($D$2:$D$2846)</f>
        <v>0.7984706881903143</v>
      </c>
      <c r="F682" s="22" t="s">
        <v>53</v>
      </c>
      <c r="G682" s="25" t="s">
        <v>125</v>
      </c>
    </row>
    <row r="683" spans="1:7">
      <c r="A683" s="21" t="s">
        <v>811</v>
      </c>
      <c r="B683" s="22" t="s">
        <v>56</v>
      </c>
      <c r="C683" s="22" t="s">
        <v>124</v>
      </c>
      <c r="D683" s="23">
        <v>2</v>
      </c>
      <c r="E683" s="24">
        <f>SUM($D$2:D683)/SUM($D$2:$D$2846)</f>
        <v>0.79864061172472389</v>
      </c>
      <c r="F683" s="22" t="s">
        <v>53</v>
      </c>
      <c r="G683" s="25" t="s">
        <v>125</v>
      </c>
    </row>
    <row r="684" spans="1:7">
      <c r="A684" s="21" t="s">
        <v>812</v>
      </c>
      <c r="B684" s="22" t="s">
        <v>56</v>
      </c>
      <c r="C684" s="22" t="s">
        <v>124</v>
      </c>
      <c r="D684" s="23">
        <v>2</v>
      </c>
      <c r="E684" s="24">
        <f>SUM($D$2:D684)/SUM($D$2:$D$2846)</f>
        <v>0.79881053525913337</v>
      </c>
      <c r="F684" s="22" t="s">
        <v>53</v>
      </c>
      <c r="G684" s="25" t="s">
        <v>125</v>
      </c>
    </row>
    <row r="685" spans="1:7">
      <c r="A685" s="21" t="s">
        <v>813</v>
      </c>
      <c r="B685" s="22" t="s">
        <v>56</v>
      </c>
      <c r="C685" s="22" t="s">
        <v>124</v>
      </c>
      <c r="D685" s="23">
        <v>2</v>
      </c>
      <c r="E685" s="24">
        <f>SUM($D$2:D685)/SUM($D$2:$D$2846)</f>
        <v>0.79898045879354296</v>
      </c>
      <c r="F685" s="22" t="s">
        <v>53</v>
      </c>
      <c r="G685" s="25" t="s">
        <v>125</v>
      </c>
    </row>
    <row r="686" spans="1:7">
      <c r="A686" s="21" t="s">
        <v>814</v>
      </c>
      <c r="B686" s="22" t="s">
        <v>56</v>
      </c>
      <c r="C686" s="22" t="s">
        <v>124</v>
      </c>
      <c r="D686" s="23">
        <v>2</v>
      </c>
      <c r="E686" s="24">
        <f>SUM($D$2:D686)/SUM($D$2:$D$2846)</f>
        <v>0.79915038232795244</v>
      </c>
      <c r="F686" s="22" t="s">
        <v>53</v>
      </c>
      <c r="G686" s="25" t="s">
        <v>125</v>
      </c>
    </row>
    <row r="687" spans="1:7">
      <c r="A687" s="21" t="s">
        <v>815</v>
      </c>
      <c r="B687" s="26" t="s">
        <v>163</v>
      </c>
      <c r="C687" s="22" t="s">
        <v>45</v>
      </c>
      <c r="D687" s="23">
        <v>2</v>
      </c>
      <c r="E687" s="24">
        <f>SUM($D$2:D687)/SUM($D$2:$D$2846)</f>
        <v>0.79932030586236191</v>
      </c>
      <c r="F687" s="22" t="s">
        <v>53</v>
      </c>
      <c r="G687" s="25" t="s">
        <v>164</v>
      </c>
    </row>
    <row r="688" spans="1:7">
      <c r="A688" s="21" t="s">
        <v>816</v>
      </c>
      <c r="B688" s="22" t="s">
        <v>56</v>
      </c>
      <c r="C688" s="22" t="s">
        <v>124</v>
      </c>
      <c r="D688" s="23">
        <v>2</v>
      </c>
      <c r="E688" s="24">
        <f>SUM($D$2:D688)/SUM($D$2:$D$2846)</f>
        <v>0.7994902293967715</v>
      </c>
      <c r="F688" s="22" t="s">
        <v>53</v>
      </c>
      <c r="G688" s="25" t="s">
        <v>125</v>
      </c>
    </row>
    <row r="689" spans="1:7">
      <c r="A689" s="21" t="s">
        <v>817</v>
      </c>
      <c r="B689" s="22" t="s">
        <v>56</v>
      </c>
      <c r="C689" s="22" t="s">
        <v>124</v>
      </c>
      <c r="D689" s="23">
        <v>2</v>
      </c>
      <c r="E689" s="24">
        <f>SUM($D$2:D689)/SUM($D$2:$D$2846)</f>
        <v>0.79966015293118098</v>
      </c>
      <c r="F689" s="22" t="s">
        <v>53</v>
      </c>
      <c r="G689" s="25" t="s">
        <v>125</v>
      </c>
    </row>
    <row r="690" spans="1:7">
      <c r="A690" s="21" t="s">
        <v>818</v>
      </c>
      <c r="B690" s="22" t="s">
        <v>56</v>
      </c>
      <c r="C690" s="22" t="s">
        <v>124</v>
      </c>
      <c r="D690" s="23">
        <v>2</v>
      </c>
      <c r="E690" s="24">
        <f>SUM($D$2:D690)/SUM($D$2:$D$2846)</f>
        <v>0.79983007646559046</v>
      </c>
      <c r="F690" s="22" t="s">
        <v>53</v>
      </c>
      <c r="G690" s="25" t="s">
        <v>125</v>
      </c>
    </row>
    <row r="691" spans="1:7">
      <c r="A691" s="21" t="s">
        <v>819</v>
      </c>
      <c r="B691" s="22" t="s">
        <v>56</v>
      </c>
      <c r="C691" s="22" t="s">
        <v>124</v>
      </c>
      <c r="D691" s="23">
        <v>2</v>
      </c>
      <c r="E691" s="24">
        <f>SUM($D$2:D691)/SUM($D$2:$D$2846)</f>
        <v>0.8</v>
      </c>
      <c r="F691" s="22" t="s">
        <v>53</v>
      </c>
      <c r="G691" s="25" t="s">
        <v>125</v>
      </c>
    </row>
    <row r="692" spans="1:7">
      <c r="A692" s="21" t="s">
        <v>820</v>
      </c>
      <c r="B692" s="22" t="s">
        <v>56</v>
      </c>
      <c r="C692" s="22" t="s">
        <v>124</v>
      </c>
      <c r="D692" s="23">
        <v>2</v>
      </c>
      <c r="E692" s="24">
        <f>SUM($D$2:D692)/SUM($D$2:$D$2846)</f>
        <v>0.80016992353440952</v>
      </c>
      <c r="F692" s="22" t="s">
        <v>53</v>
      </c>
      <c r="G692" s="25" t="s">
        <v>125</v>
      </c>
    </row>
    <row r="693" spans="1:7">
      <c r="A693" s="21" t="s">
        <v>821</v>
      </c>
      <c r="B693" s="22" t="s">
        <v>56</v>
      </c>
      <c r="C693" s="22" t="s">
        <v>124</v>
      </c>
      <c r="D693" s="23">
        <v>2</v>
      </c>
      <c r="E693" s="24">
        <f>SUM($D$2:D693)/SUM($D$2:$D$2846)</f>
        <v>0.800339847068819</v>
      </c>
      <c r="F693" s="22" t="s">
        <v>53</v>
      </c>
      <c r="G693" s="25" t="s">
        <v>125</v>
      </c>
    </row>
    <row r="694" spans="1:7">
      <c r="A694" s="21" t="s">
        <v>822</v>
      </c>
      <c r="B694" s="22" t="s">
        <v>56</v>
      </c>
      <c r="C694" s="22" t="s">
        <v>124</v>
      </c>
      <c r="D694" s="23">
        <v>2</v>
      </c>
      <c r="E694" s="24">
        <f>SUM($D$2:D694)/SUM($D$2:$D$2846)</f>
        <v>0.80050977060322859</v>
      </c>
      <c r="F694" s="22" t="s">
        <v>53</v>
      </c>
      <c r="G694" s="25" t="s">
        <v>125</v>
      </c>
    </row>
    <row r="695" spans="1:7">
      <c r="A695" s="21" t="s">
        <v>823</v>
      </c>
      <c r="B695" s="22" t="s">
        <v>56</v>
      </c>
      <c r="C695" s="22" t="s">
        <v>124</v>
      </c>
      <c r="D695" s="23">
        <v>2</v>
      </c>
      <c r="E695" s="24">
        <f>SUM($D$2:D695)/SUM($D$2:$D$2846)</f>
        <v>0.80067969413763806</v>
      </c>
      <c r="F695" s="22" t="s">
        <v>53</v>
      </c>
      <c r="G695" s="25" t="s">
        <v>125</v>
      </c>
    </row>
    <row r="696" spans="1:7">
      <c r="A696" s="21" t="s">
        <v>824</v>
      </c>
      <c r="B696" s="22" t="s">
        <v>56</v>
      </c>
      <c r="C696" s="22" t="s">
        <v>124</v>
      </c>
      <c r="D696" s="23">
        <v>2</v>
      </c>
      <c r="E696" s="24">
        <f>SUM($D$2:D696)/SUM($D$2:$D$2846)</f>
        <v>0.80084961767204754</v>
      </c>
      <c r="F696" s="22" t="s">
        <v>53</v>
      </c>
      <c r="G696" s="25" t="s">
        <v>125</v>
      </c>
    </row>
    <row r="697" spans="1:7">
      <c r="A697" s="21" t="s">
        <v>825</v>
      </c>
      <c r="B697" s="22" t="s">
        <v>56</v>
      </c>
      <c r="C697" s="22" t="s">
        <v>124</v>
      </c>
      <c r="D697" s="23">
        <v>2</v>
      </c>
      <c r="E697" s="24">
        <f>SUM($D$2:D697)/SUM($D$2:$D$2846)</f>
        <v>0.80101954120645713</v>
      </c>
      <c r="F697" s="22" t="s">
        <v>53</v>
      </c>
      <c r="G697" s="25" t="s">
        <v>125</v>
      </c>
    </row>
    <row r="698" spans="1:7">
      <c r="A698" s="21" t="s">
        <v>826</v>
      </c>
      <c r="B698" s="22" t="s">
        <v>56</v>
      </c>
      <c r="C698" s="22" t="s">
        <v>124</v>
      </c>
      <c r="D698" s="23">
        <v>2</v>
      </c>
      <c r="E698" s="24">
        <f>SUM($D$2:D698)/SUM($D$2:$D$2846)</f>
        <v>0.80118946474086661</v>
      </c>
      <c r="F698" s="22" t="s">
        <v>53</v>
      </c>
      <c r="G698" s="25" t="s">
        <v>125</v>
      </c>
    </row>
    <row r="699" spans="1:7">
      <c r="A699" s="21" t="s">
        <v>827</v>
      </c>
      <c r="B699" s="26" t="s">
        <v>163</v>
      </c>
      <c r="C699" s="22" t="s">
        <v>45</v>
      </c>
      <c r="D699" s="23">
        <v>2</v>
      </c>
      <c r="E699" s="24">
        <f>SUM($D$2:D699)/SUM($D$2:$D$2846)</f>
        <v>0.80135938827527609</v>
      </c>
      <c r="F699" s="22" t="s">
        <v>53</v>
      </c>
      <c r="G699" s="25" t="s">
        <v>164</v>
      </c>
    </row>
    <row r="700" spans="1:7">
      <c r="A700" s="21" t="s">
        <v>828</v>
      </c>
      <c r="B700" s="26" t="s">
        <v>163</v>
      </c>
      <c r="C700" s="22" t="s">
        <v>45</v>
      </c>
      <c r="D700" s="23">
        <v>2</v>
      </c>
      <c r="E700" s="24">
        <f>SUM($D$2:D700)/SUM($D$2:$D$2846)</f>
        <v>0.80152931180968567</v>
      </c>
      <c r="F700" s="22" t="s">
        <v>53</v>
      </c>
      <c r="G700" s="25" t="s">
        <v>164</v>
      </c>
    </row>
    <row r="701" spans="1:7">
      <c r="A701" s="21" t="s">
        <v>829</v>
      </c>
      <c r="B701" s="26" t="s">
        <v>163</v>
      </c>
      <c r="C701" s="22" t="s">
        <v>45</v>
      </c>
      <c r="D701" s="23">
        <v>2</v>
      </c>
      <c r="E701" s="24">
        <f>SUM($D$2:D701)/SUM($D$2:$D$2846)</f>
        <v>0.80169923534409515</v>
      </c>
      <c r="F701" s="22" t="s">
        <v>53</v>
      </c>
      <c r="G701" s="25" t="s">
        <v>164</v>
      </c>
    </row>
    <row r="702" spans="1:7">
      <c r="A702" s="21" t="s">
        <v>830</v>
      </c>
      <c r="B702" s="22" t="s">
        <v>56</v>
      </c>
      <c r="C702" s="22" t="s">
        <v>124</v>
      </c>
      <c r="D702" s="23">
        <v>2</v>
      </c>
      <c r="E702" s="24">
        <f>SUM($D$2:D702)/SUM($D$2:$D$2846)</f>
        <v>0.80186915887850463</v>
      </c>
      <c r="F702" s="22" t="s">
        <v>53</v>
      </c>
      <c r="G702" s="25" t="s">
        <v>125</v>
      </c>
    </row>
    <row r="703" spans="1:7">
      <c r="A703" s="21" t="s">
        <v>831</v>
      </c>
      <c r="B703" s="22" t="s">
        <v>56</v>
      </c>
      <c r="C703" s="22" t="s">
        <v>124</v>
      </c>
      <c r="D703" s="23">
        <v>2</v>
      </c>
      <c r="E703" s="24">
        <f>SUM($D$2:D703)/SUM($D$2:$D$2846)</f>
        <v>0.80203908241291422</v>
      </c>
      <c r="F703" s="22" t="s">
        <v>53</v>
      </c>
      <c r="G703" s="25" t="s">
        <v>125</v>
      </c>
    </row>
    <row r="704" spans="1:7">
      <c r="A704" s="21" t="s">
        <v>832</v>
      </c>
      <c r="B704" s="22" t="s">
        <v>56</v>
      </c>
      <c r="C704" s="22" t="s">
        <v>124</v>
      </c>
      <c r="D704" s="23">
        <v>2</v>
      </c>
      <c r="E704" s="24">
        <f>SUM($D$2:D704)/SUM($D$2:$D$2846)</f>
        <v>0.80220900594732369</v>
      </c>
      <c r="F704" s="22" t="s">
        <v>53</v>
      </c>
      <c r="G704" s="25" t="s">
        <v>125</v>
      </c>
    </row>
    <row r="705" spans="1:7">
      <c r="A705" s="21" t="s">
        <v>833</v>
      </c>
      <c r="B705" s="22" t="s">
        <v>56</v>
      </c>
      <c r="C705" s="22" t="s">
        <v>124</v>
      </c>
      <c r="D705" s="23">
        <v>2</v>
      </c>
      <c r="E705" s="24">
        <f>SUM($D$2:D705)/SUM($D$2:$D$2846)</f>
        <v>0.80237892948173317</v>
      </c>
      <c r="F705" s="22" t="s">
        <v>53</v>
      </c>
      <c r="G705" s="25" t="s">
        <v>125</v>
      </c>
    </row>
    <row r="706" spans="1:7">
      <c r="A706" s="21" t="s">
        <v>834</v>
      </c>
      <c r="B706" s="22" t="s">
        <v>56</v>
      </c>
      <c r="C706" s="22" t="s">
        <v>124</v>
      </c>
      <c r="D706" s="23">
        <v>2</v>
      </c>
      <c r="E706" s="24">
        <f>SUM($D$2:D706)/SUM($D$2:$D$2846)</f>
        <v>0.80254885301614276</v>
      </c>
      <c r="F706" s="22" t="s">
        <v>53</v>
      </c>
      <c r="G706" s="25" t="s">
        <v>125</v>
      </c>
    </row>
    <row r="707" spans="1:7">
      <c r="A707" s="21" t="s">
        <v>835</v>
      </c>
      <c r="B707" s="22" t="s">
        <v>56</v>
      </c>
      <c r="C707" s="22" t="s">
        <v>124</v>
      </c>
      <c r="D707" s="23">
        <v>2</v>
      </c>
      <c r="E707" s="24">
        <f>SUM($D$2:D707)/SUM($D$2:$D$2846)</f>
        <v>0.80271877655055224</v>
      </c>
      <c r="F707" s="22" t="s">
        <v>53</v>
      </c>
      <c r="G707" s="25" t="s">
        <v>125</v>
      </c>
    </row>
    <row r="708" spans="1:7">
      <c r="A708" s="21" t="s">
        <v>836</v>
      </c>
      <c r="B708" s="22" t="s">
        <v>56</v>
      </c>
      <c r="C708" s="22" t="s">
        <v>124</v>
      </c>
      <c r="D708" s="23">
        <v>2</v>
      </c>
      <c r="E708" s="24">
        <f>SUM($D$2:D708)/SUM($D$2:$D$2846)</f>
        <v>0.80288870008496172</v>
      </c>
      <c r="F708" s="22" t="s">
        <v>53</v>
      </c>
      <c r="G708" s="25" t="s">
        <v>125</v>
      </c>
    </row>
    <row r="709" spans="1:7">
      <c r="A709" s="21" t="s">
        <v>837</v>
      </c>
      <c r="B709" s="22" t="s">
        <v>56</v>
      </c>
      <c r="C709" s="22" t="s">
        <v>124</v>
      </c>
      <c r="D709" s="23">
        <v>2</v>
      </c>
      <c r="E709" s="24">
        <f>SUM($D$2:D709)/SUM($D$2:$D$2846)</f>
        <v>0.8030586236193713</v>
      </c>
      <c r="F709" s="22" t="s">
        <v>53</v>
      </c>
      <c r="G709" s="25" t="s">
        <v>125</v>
      </c>
    </row>
    <row r="710" spans="1:7">
      <c r="A710" s="21" t="s">
        <v>838</v>
      </c>
      <c r="B710" s="22" t="s">
        <v>56</v>
      </c>
      <c r="C710" s="22" t="s">
        <v>124</v>
      </c>
      <c r="D710" s="23">
        <v>2</v>
      </c>
      <c r="E710" s="24">
        <f>SUM($D$2:D710)/SUM($D$2:$D$2846)</f>
        <v>0.80322854715378078</v>
      </c>
      <c r="F710" s="22" t="s">
        <v>53</v>
      </c>
      <c r="G710" s="25" t="s">
        <v>125</v>
      </c>
    </row>
    <row r="711" spans="1:7">
      <c r="A711" s="21" t="s">
        <v>839</v>
      </c>
      <c r="B711" s="26" t="s">
        <v>163</v>
      </c>
      <c r="C711" s="22" t="s">
        <v>45</v>
      </c>
      <c r="D711" s="23">
        <v>2</v>
      </c>
      <c r="E711" s="24">
        <f>SUM($D$2:D711)/SUM($D$2:$D$2846)</f>
        <v>0.80339847068819037</v>
      </c>
      <c r="F711" s="22" t="s">
        <v>53</v>
      </c>
      <c r="G711" s="25" t="s">
        <v>164</v>
      </c>
    </row>
    <row r="712" spans="1:7">
      <c r="A712" s="21" t="s">
        <v>840</v>
      </c>
      <c r="B712" s="22" t="s">
        <v>56</v>
      </c>
      <c r="C712" s="22" t="s">
        <v>124</v>
      </c>
      <c r="D712" s="23">
        <v>2</v>
      </c>
      <c r="E712" s="24">
        <f>SUM($D$2:D712)/SUM($D$2:$D$2846)</f>
        <v>0.80356839422259985</v>
      </c>
      <c r="F712" s="22" t="s">
        <v>53</v>
      </c>
      <c r="G712" s="25" t="s">
        <v>125</v>
      </c>
    </row>
    <row r="713" spans="1:7">
      <c r="A713" s="21" t="s">
        <v>841</v>
      </c>
      <c r="B713" s="22" t="s">
        <v>56</v>
      </c>
      <c r="C713" s="22" t="s">
        <v>124</v>
      </c>
      <c r="D713" s="23">
        <v>2</v>
      </c>
      <c r="E713" s="24">
        <f>SUM($D$2:D713)/SUM($D$2:$D$2846)</f>
        <v>0.80373831775700932</v>
      </c>
      <c r="F713" s="22" t="s">
        <v>53</v>
      </c>
      <c r="G713" s="25" t="s">
        <v>125</v>
      </c>
    </row>
    <row r="714" spans="1:7">
      <c r="A714" s="21" t="s">
        <v>842</v>
      </c>
      <c r="B714" s="26" t="s">
        <v>44</v>
      </c>
      <c r="C714" s="22" t="s">
        <v>45</v>
      </c>
      <c r="D714" s="23">
        <v>2</v>
      </c>
      <c r="E714" s="24">
        <f>SUM($D$2:D714)/SUM($D$2:$D$2846)</f>
        <v>0.80390824129141891</v>
      </c>
      <c r="F714" s="22" t="s">
        <v>53</v>
      </c>
      <c r="G714" s="25" t="s">
        <v>164</v>
      </c>
    </row>
    <row r="715" spans="1:7">
      <c r="A715" s="21" t="s">
        <v>843</v>
      </c>
      <c r="B715" s="22" t="s">
        <v>56</v>
      </c>
      <c r="C715" s="22" t="s">
        <v>124</v>
      </c>
      <c r="D715" s="23">
        <v>2</v>
      </c>
      <c r="E715" s="24">
        <f>SUM($D$2:D715)/SUM($D$2:$D$2846)</f>
        <v>0.80407816482582839</v>
      </c>
      <c r="F715" s="22" t="s">
        <v>53</v>
      </c>
      <c r="G715" s="25" t="s">
        <v>125</v>
      </c>
    </row>
    <row r="716" spans="1:7">
      <c r="A716" s="21" t="s">
        <v>844</v>
      </c>
      <c r="B716" s="22" t="s">
        <v>56</v>
      </c>
      <c r="C716" s="22" t="s">
        <v>124</v>
      </c>
      <c r="D716" s="23">
        <v>2</v>
      </c>
      <c r="E716" s="24">
        <f>SUM($D$2:D716)/SUM($D$2:$D$2846)</f>
        <v>0.80424808836023787</v>
      </c>
      <c r="F716" s="22" t="s">
        <v>53</v>
      </c>
      <c r="G716" s="25" t="s">
        <v>125</v>
      </c>
    </row>
    <row r="717" spans="1:7">
      <c r="A717" s="21" t="s">
        <v>845</v>
      </c>
      <c r="B717" s="22" t="s">
        <v>56</v>
      </c>
      <c r="C717" s="22" t="s">
        <v>124</v>
      </c>
      <c r="D717" s="23">
        <v>2</v>
      </c>
      <c r="E717" s="24">
        <f>SUM($D$2:D717)/SUM($D$2:$D$2846)</f>
        <v>0.80441801189464746</v>
      </c>
      <c r="F717" s="22" t="s">
        <v>53</v>
      </c>
      <c r="G717" s="25" t="s">
        <v>125</v>
      </c>
    </row>
    <row r="718" spans="1:7">
      <c r="A718" s="21" t="s">
        <v>846</v>
      </c>
      <c r="B718" s="22" t="s">
        <v>56</v>
      </c>
      <c r="C718" s="22" t="s">
        <v>124</v>
      </c>
      <c r="D718" s="23">
        <v>2</v>
      </c>
      <c r="E718" s="24">
        <f>SUM($D$2:D718)/SUM($D$2:$D$2846)</f>
        <v>0.80458793542905693</v>
      </c>
      <c r="F718" s="22" t="s">
        <v>53</v>
      </c>
      <c r="G718" s="25" t="s">
        <v>125</v>
      </c>
    </row>
    <row r="719" spans="1:7">
      <c r="A719" s="21" t="s">
        <v>847</v>
      </c>
      <c r="B719" s="22" t="s">
        <v>56</v>
      </c>
      <c r="C719" s="22" t="s">
        <v>124</v>
      </c>
      <c r="D719" s="23">
        <v>2</v>
      </c>
      <c r="E719" s="24">
        <f>SUM($D$2:D719)/SUM($D$2:$D$2846)</f>
        <v>0.80475785896346641</v>
      </c>
      <c r="F719" s="22" t="s">
        <v>53</v>
      </c>
      <c r="G719" s="25" t="s">
        <v>125</v>
      </c>
    </row>
    <row r="720" spans="1:7">
      <c r="A720" s="21" t="s">
        <v>848</v>
      </c>
      <c r="B720" s="26" t="s">
        <v>163</v>
      </c>
      <c r="C720" s="22" t="s">
        <v>45</v>
      </c>
      <c r="D720" s="23">
        <v>2</v>
      </c>
      <c r="E720" s="24">
        <f>SUM($D$2:D720)/SUM($D$2:$D$2846)</f>
        <v>0.804927782497876</v>
      </c>
      <c r="F720" s="22" t="s">
        <v>53</v>
      </c>
      <c r="G720" s="25" t="s">
        <v>164</v>
      </c>
    </row>
    <row r="721" spans="1:7">
      <c r="A721" s="21" t="s">
        <v>62</v>
      </c>
      <c r="B721" s="26" t="s">
        <v>56</v>
      </c>
      <c r="C721" s="22" t="s">
        <v>45</v>
      </c>
      <c r="D721" s="23">
        <v>2</v>
      </c>
      <c r="E721" s="24">
        <f>SUM($D$2:D721)/SUM($D$2:$D$2846)</f>
        <v>0.80509770603228548</v>
      </c>
      <c r="F721" s="22" t="s">
        <v>53</v>
      </c>
      <c r="G721" s="25" t="s">
        <v>57</v>
      </c>
    </row>
    <row r="722" spans="1:7">
      <c r="A722" s="21" t="s">
        <v>849</v>
      </c>
      <c r="B722" s="22" t="s">
        <v>56</v>
      </c>
      <c r="C722" s="22" t="s">
        <v>124</v>
      </c>
      <c r="D722" s="23">
        <v>2</v>
      </c>
      <c r="E722" s="24">
        <f>SUM($D$2:D722)/SUM($D$2:$D$2846)</f>
        <v>0.80526762956669495</v>
      </c>
      <c r="F722" s="22" t="s">
        <v>53</v>
      </c>
      <c r="G722" s="25" t="s">
        <v>125</v>
      </c>
    </row>
    <row r="723" spans="1:7">
      <c r="A723" s="21" t="s">
        <v>850</v>
      </c>
      <c r="B723" s="22" t="s">
        <v>56</v>
      </c>
      <c r="C723" s="22" t="s">
        <v>124</v>
      </c>
      <c r="D723" s="23">
        <v>2</v>
      </c>
      <c r="E723" s="24">
        <f>SUM($D$2:D723)/SUM($D$2:$D$2846)</f>
        <v>0.80543755310110454</v>
      </c>
      <c r="F723" s="22" t="s">
        <v>53</v>
      </c>
      <c r="G723" s="25" t="s">
        <v>125</v>
      </c>
    </row>
    <row r="724" spans="1:7">
      <c r="A724" s="21" t="s">
        <v>851</v>
      </c>
      <c r="B724" s="26" t="s">
        <v>163</v>
      </c>
      <c r="C724" s="22" t="s">
        <v>45</v>
      </c>
      <c r="D724" s="23">
        <v>2</v>
      </c>
      <c r="E724" s="24">
        <f>SUM($D$2:D724)/SUM($D$2:$D$2846)</f>
        <v>0.80560747663551402</v>
      </c>
      <c r="F724" s="22" t="s">
        <v>53</v>
      </c>
      <c r="G724" s="25" t="s">
        <v>164</v>
      </c>
    </row>
    <row r="725" spans="1:7">
      <c r="A725" s="21" t="s">
        <v>852</v>
      </c>
      <c r="B725" s="22" t="s">
        <v>56</v>
      </c>
      <c r="C725" s="22" t="s">
        <v>124</v>
      </c>
      <c r="D725" s="23">
        <v>2</v>
      </c>
      <c r="E725" s="24">
        <f>SUM($D$2:D725)/SUM($D$2:$D$2846)</f>
        <v>0.8057774001699235</v>
      </c>
      <c r="F725" s="22" t="s">
        <v>53</v>
      </c>
      <c r="G725" s="25" t="s">
        <v>125</v>
      </c>
    </row>
    <row r="726" spans="1:7">
      <c r="A726" s="21" t="s">
        <v>853</v>
      </c>
      <c r="B726" s="26" t="s">
        <v>163</v>
      </c>
      <c r="C726" s="22" t="s">
        <v>45</v>
      </c>
      <c r="D726" s="23">
        <v>2</v>
      </c>
      <c r="E726" s="24">
        <f>SUM($D$2:D726)/SUM($D$2:$D$2846)</f>
        <v>0.80594732370433309</v>
      </c>
      <c r="F726" s="22" t="s">
        <v>53</v>
      </c>
      <c r="G726" s="25" t="s">
        <v>164</v>
      </c>
    </row>
    <row r="727" spans="1:7">
      <c r="A727" s="21" t="s">
        <v>854</v>
      </c>
      <c r="B727" s="26" t="s">
        <v>163</v>
      </c>
      <c r="C727" s="22" t="s">
        <v>45</v>
      </c>
      <c r="D727" s="23">
        <v>2</v>
      </c>
      <c r="E727" s="24">
        <f>SUM($D$2:D727)/SUM($D$2:$D$2846)</f>
        <v>0.80611724723874256</v>
      </c>
      <c r="F727" s="22" t="s">
        <v>53</v>
      </c>
      <c r="G727" s="25" t="s">
        <v>164</v>
      </c>
    </row>
    <row r="728" spans="1:7">
      <c r="A728" s="21" t="s">
        <v>855</v>
      </c>
      <c r="B728" s="22" t="s">
        <v>56</v>
      </c>
      <c r="C728" s="22" t="s">
        <v>124</v>
      </c>
      <c r="D728" s="23">
        <v>2</v>
      </c>
      <c r="E728" s="24">
        <f>SUM($D$2:D728)/SUM($D$2:$D$2846)</f>
        <v>0.80628717077315204</v>
      </c>
      <c r="F728" s="22" t="s">
        <v>53</v>
      </c>
      <c r="G728" s="25" t="s">
        <v>125</v>
      </c>
    </row>
    <row r="729" spans="1:7">
      <c r="A729" s="21" t="s">
        <v>856</v>
      </c>
      <c r="B729" s="22" t="s">
        <v>56</v>
      </c>
      <c r="C729" s="22" t="s">
        <v>124</v>
      </c>
      <c r="D729" s="23">
        <v>2</v>
      </c>
      <c r="E729" s="24">
        <f>SUM($D$2:D729)/SUM($D$2:$D$2846)</f>
        <v>0.80645709430756163</v>
      </c>
      <c r="F729" s="22" t="s">
        <v>53</v>
      </c>
      <c r="G729" s="25" t="s">
        <v>125</v>
      </c>
    </row>
    <row r="730" spans="1:7">
      <c r="A730" s="21" t="s">
        <v>857</v>
      </c>
      <c r="B730" s="26" t="s">
        <v>163</v>
      </c>
      <c r="C730" s="22" t="s">
        <v>45</v>
      </c>
      <c r="D730" s="23">
        <v>2</v>
      </c>
      <c r="E730" s="24">
        <f>SUM($D$2:D730)/SUM($D$2:$D$2846)</f>
        <v>0.80662701784197111</v>
      </c>
      <c r="F730" s="22" t="s">
        <v>53</v>
      </c>
      <c r="G730" s="25" t="s">
        <v>164</v>
      </c>
    </row>
    <row r="731" spans="1:7">
      <c r="A731" s="21" t="s">
        <v>858</v>
      </c>
      <c r="B731" s="22" t="s">
        <v>56</v>
      </c>
      <c r="C731" s="22" t="s">
        <v>124</v>
      </c>
      <c r="D731" s="23">
        <v>2</v>
      </c>
      <c r="E731" s="24">
        <f>SUM($D$2:D731)/SUM($D$2:$D$2846)</f>
        <v>0.80679694137638058</v>
      </c>
      <c r="F731" s="22" t="s">
        <v>53</v>
      </c>
      <c r="G731" s="25" t="s">
        <v>125</v>
      </c>
    </row>
    <row r="732" spans="1:7">
      <c r="A732" s="21" t="s">
        <v>859</v>
      </c>
      <c r="B732" s="22" t="s">
        <v>56</v>
      </c>
      <c r="C732" s="22" t="s">
        <v>124</v>
      </c>
      <c r="D732" s="23">
        <v>2</v>
      </c>
      <c r="E732" s="24">
        <f>SUM($D$2:D732)/SUM($D$2:$D$2846)</f>
        <v>0.80696686491079017</v>
      </c>
      <c r="F732" s="22" t="s">
        <v>53</v>
      </c>
      <c r="G732" s="25" t="s">
        <v>125</v>
      </c>
    </row>
    <row r="733" spans="1:7">
      <c r="A733" s="21" t="s">
        <v>860</v>
      </c>
      <c r="B733" s="22" t="s">
        <v>56</v>
      </c>
      <c r="C733" s="22" t="s">
        <v>124</v>
      </c>
      <c r="D733" s="23">
        <v>2</v>
      </c>
      <c r="E733" s="24">
        <f>SUM($D$2:D733)/SUM($D$2:$D$2846)</f>
        <v>0.80713678844519965</v>
      </c>
      <c r="F733" s="22" t="s">
        <v>53</v>
      </c>
      <c r="G733" s="25" t="s">
        <v>125</v>
      </c>
    </row>
    <row r="734" spans="1:7">
      <c r="A734" s="21" t="s">
        <v>861</v>
      </c>
      <c r="B734" s="26" t="s">
        <v>163</v>
      </c>
      <c r="C734" s="22" t="s">
        <v>45</v>
      </c>
      <c r="D734" s="23">
        <v>2</v>
      </c>
      <c r="E734" s="24">
        <f>SUM($D$2:D734)/SUM($D$2:$D$2846)</f>
        <v>0.80730671197960913</v>
      </c>
      <c r="F734" s="22" t="s">
        <v>53</v>
      </c>
      <c r="G734" s="25" t="s">
        <v>164</v>
      </c>
    </row>
    <row r="735" spans="1:7">
      <c r="A735" s="21" t="s">
        <v>862</v>
      </c>
      <c r="B735" s="22" t="s">
        <v>56</v>
      </c>
      <c r="C735" s="22" t="s">
        <v>124</v>
      </c>
      <c r="D735" s="23">
        <v>2</v>
      </c>
      <c r="E735" s="24">
        <f>SUM($D$2:D735)/SUM($D$2:$D$2846)</f>
        <v>0.80747663551401871</v>
      </c>
      <c r="F735" s="22" t="s">
        <v>53</v>
      </c>
      <c r="G735" s="25" t="s">
        <v>125</v>
      </c>
    </row>
    <row r="736" spans="1:7">
      <c r="A736" s="21" t="s">
        <v>863</v>
      </c>
      <c r="B736" s="22" t="s">
        <v>56</v>
      </c>
      <c r="C736" s="22" t="s">
        <v>124</v>
      </c>
      <c r="D736" s="23">
        <v>2</v>
      </c>
      <c r="E736" s="24">
        <f>SUM($D$2:D736)/SUM($D$2:$D$2846)</f>
        <v>0.80764655904842819</v>
      </c>
      <c r="F736" s="22" t="s">
        <v>53</v>
      </c>
      <c r="G736" s="25" t="s">
        <v>125</v>
      </c>
    </row>
    <row r="737" spans="1:7">
      <c r="A737" s="21" t="s">
        <v>864</v>
      </c>
      <c r="B737" s="22" t="s">
        <v>56</v>
      </c>
      <c r="C737" s="22" t="s">
        <v>124</v>
      </c>
      <c r="D737" s="23">
        <v>2</v>
      </c>
      <c r="E737" s="24">
        <f>SUM($D$2:D737)/SUM($D$2:$D$2846)</f>
        <v>0.80781648258283767</v>
      </c>
      <c r="F737" s="22" t="s">
        <v>53</v>
      </c>
      <c r="G737" s="25" t="s">
        <v>125</v>
      </c>
    </row>
    <row r="738" spans="1:7">
      <c r="A738" s="21" t="s">
        <v>865</v>
      </c>
      <c r="B738" s="22" t="s">
        <v>56</v>
      </c>
      <c r="C738" s="22" t="s">
        <v>124</v>
      </c>
      <c r="D738" s="23">
        <v>2</v>
      </c>
      <c r="E738" s="24">
        <f>SUM($D$2:D738)/SUM($D$2:$D$2846)</f>
        <v>0.80798640611724726</v>
      </c>
      <c r="F738" s="22" t="s">
        <v>53</v>
      </c>
      <c r="G738" s="25" t="s">
        <v>125</v>
      </c>
    </row>
    <row r="739" spans="1:7">
      <c r="A739" s="21" t="s">
        <v>866</v>
      </c>
      <c r="B739" s="22" t="s">
        <v>44</v>
      </c>
      <c r="C739" s="22" t="s">
        <v>124</v>
      </c>
      <c r="D739" s="23">
        <v>2</v>
      </c>
      <c r="E739" s="24">
        <f>SUM($D$2:D739)/SUM($D$2:$D$2846)</f>
        <v>0.80815632965165674</v>
      </c>
      <c r="F739" s="22" t="s">
        <v>53</v>
      </c>
      <c r="G739" s="25" t="s">
        <v>194</v>
      </c>
    </row>
    <row r="740" spans="1:7">
      <c r="A740" s="21" t="s">
        <v>867</v>
      </c>
      <c r="B740" s="22" t="s">
        <v>56</v>
      </c>
      <c r="C740" s="22" t="s">
        <v>124</v>
      </c>
      <c r="D740" s="23">
        <v>2</v>
      </c>
      <c r="E740" s="24">
        <f>SUM($D$2:D740)/SUM($D$2:$D$2846)</f>
        <v>0.80832625318606632</v>
      </c>
      <c r="F740" s="22" t="s">
        <v>53</v>
      </c>
      <c r="G740" s="25" t="s">
        <v>125</v>
      </c>
    </row>
    <row r="741" spans="1:7">
      <c r="A741" s="21" t="s">
        <v>868</v>
      </c>
      <c r="B741" s="22" t="s">
        <v>56</v>
      </c>
      <c r="C741" s="22" t="s">
        <v>124</v>
      </c>
      <c r="D741" s="23">
        <v>2</v>
      </c>
      <c r="E741" s="24">
        <f>SUM($D$2:D741)/SUM($D$2:$D$2846)</f>
        <v>0.8084961767204758</v>
      </c>
      <c r="F741" s="22" t="s">
        <v>53</v>
      </c>
      <c r="G741" s="25" t="s">
        <v>125</v>
      </c>
    </row>
    <row r="742" spans="1:7">
      <c r="A742" s="21" t="s">
        <v>869</v>
      </c>
      <c r="B742" s="22" t="s">
        <v>56</v>
      </c>
      <c r="C742" s="22" t="s">
        <v>124</v>
      </c>
      <c r="D742" s="23">
        <v>2</v>
      </c>
      <c r="E742" s="24">
        <f>SUM($D$2:D742)/SUM($D$2:$D$2846)</f>
        <v>0.80866610025488528</v>
      </c>
      <c r="F742" s="22" t="s">
        <v>53</v>
      </c>
      <c r="G742" s="25" t="s">
        <v>125</v>
      </c>
    </row>
    <row r="743" spans="1:7">
      <c r="A743" s="21" t="s">
        <v>870</v>
      </c>
      <c r="B743" s="26" t="s">
        <v>163</v>
      </c>
      <c r="C743" s="22" t="s">
        <v>45</v>
      </c>
      <c r="D743" s="23">
        <v>2</v>
      </c>
      <c r="E743" s="24">
        <f>SUM($D$2:D743)/SUM($D$2:$D$2846)</f>
        <v>0.80883602378929487</v>
      </c>
      <c r="F743" s="22" t="s">
        <v>53</v>
      </c>
      <c r="G743" s="25" t="s">
        <v>164</v>
      </c>
    </row>
    <row r="744" spans="1:7">
      <c r="A744" s="21" t="s">
        <v>871</v>
      </c>
      <c r="B744" s="22" t="s">
        <v>56</v>
      </c>
      <c r="C744" s="22" t="s">
        <v>124</v>
      </c>
      <c r="D744" s="23">
        <v>2</v>
      </c>
      <c r="E744" s="24">
        <f>SUM($D$2:D744)/SUM($D$2:$D$2846)</f>
        <v>0.80900594732370434</v>
      </c>
      <c r="F744" s="22" t="s">
        <v>53</v>
      </c>
      <c r="G744" s="25" t="s">
        <v>125</v>
      </c>
    </row>
    <row r="745" spans="1:7">
      <c r="A745" s="21" t="s">
        <v>872</v>
      </c>
      <c r="B745" s="22" t="s">
        <v>56</v>
      </c>
      <c r="C745" s="22" t="s">
        <v>124</v>
      </c>
      <c r="D745" s="23">
        <v>2</v>
      </c>
      <c r="E745" s="24">
        <f>SUM($D$2:D745)/SUM($D$2:$D$2846)</f>
        <v>0.80917587085811382</v>
      </c>
      <c r="F745" s="22" t="s">
        <v>53</v>
      </c>
      <c r="G745" s="25" t="s">
        <v>125</v>
      </c>
    </row>
    <row r="746" spans="1:7">
      <c r="A746" s="21" t="s">
        <v>873</v>
      </c>
      <c r="B746" s="22" t="s">
        <v>56</v>
      </c>
      <c r="C746" s="22" t="s">
        <v>124</v>
      </c>
      <c r="D746" s="23">
        <v>2</v>
      </c>
      <c r="E746" s="24">
        <f>SUM($D$2:D746)/SUM($D$2:$D$2846)</f>
        <v>0.80934579439252341</v>
      </c>
      <c r="F746" s="22" t="s">
        <v>53</v>
      </c>
      <c r="G746" s="25" t="s">
        <v>125</v>
      </c>
    </row>
    <row r="747" spans="1:7">
      <c r="A747" s="21" t="s">
        <v>874</v>
      </c>
      <c r="B747" s="26" t="s">
        <v>163</v>
      </c>
      <c r="C747" s="22" t="s">
        <v>45</v>
      </c>
      <c r="D747" s="23">
        <v>2</v>
      </c>
      <c r="E747" s="24">
        <f>SUM($D$2:D747)/SUM($D$2:$D$2846)</f>
        <v>0.80951571792693289</v>
      </c>
      <c r="F747" s="22" t="s">
        <v>53</v>
      </c>
      <c r="G747" s="25" t="s">
        <v>164</v>
      </c>
    </row>
    <row r="748" spans="1:7">
      <c r="A748" s="21" t="s">
        <v>875</v>
      </c>
      <c r="B748" s="22" t="s">
        <v>56</v>
      </c>
      <c r="C748" s="22" t="s">
        <v>124</v>
      </c>
      <c r="D748" s="23">
        <v>2</v>
      </c>
      <c r="E748" s="24">
        <f>SUM($D$2:D748)/SUM($D$2:$D$2846)</f>
        <v>0.80968564146134236</v>
      </c>
      <c r="F748" s="22" t="s">
        <v>53</v>
      </c>
      <c r="G748" s="25" t="s">
        <v>125</v>
      </c>
    </row>
    <row r="749" spans="1:7">
      <c r="A749" s="21" t="s">
        <v>876</v>
      </c>
      <c r="B749" s="22" t="s">
        <v>56</v>
      </c>
      <c r="C749" s="22" t="s">
        <v>124</v>
      </c>
      <c r="D749" s="23">
        <v>2</v>
      </c>
      <c r="E749" s="24">
        <f>SUM($D$2:D749)/SUM($D$2:$D$2846)</f>
        <v>0.80985556499575195</v>
      </c>
      <c r="F749" s="22" t="s">
        <v>53</v>
      </c>
      <c r="G749" s="25" t="s">
        <v>125</v>
      </c>
    </row>
    <row r="750" spans="1:7">
      <c r="A750" s="21" t="s">
        <v>877</v>
      </c>
      <c r="B750" s="26" t="s">
        <v>163</v>
      </c>
      <c r="C750" s="22" t="s">
        <v>45</v>
      </c>
      <c r="D750" s="23">
        <v>2</v>
      </c>
      <c r="E750" s="24">
        <f>SUM($D$2:D750)/SUM($D$2:$D$2846)</f>
        <v>0.81002548853016143</v>
      </c>
      <c r="F750" s="22" t="s">
        <v>53</v>
      </c>
      <c r="G750" s="25" t="s">
        <v>164</v>
      </c>
    </row>
    <row r="751" spans="1:7">
      <c r="A751" s="21" t="s">
        <v>878</v>
      </c>
      <c r="B751" s="26" t="s">
        <v>163</v>
      </c>
      <c r="C751" s="22" t="s">
        <v>45</v>
      </c>
      <c r="D751" s="23">
        <v>2</v>
      </c>
      <c r="E751" s="24">
        <f>SUM($D$2:D751)/SUM($D$2:$D$2846)</f>
        <v>0.81019541206457091</v>
      </c>
      <c r="F751" s="22" t="s">
        <v>53</v>
      </c>
      <c r="G751" s="25" t="s">
        <v>164</v>
      </c>
    </row>
    <row r="752" spans="1:7">
      <c r="A752" s="21" t="s">
        <v>879</v>
      </c>
      <c r="B752" s="22" t="s">
        <v>56</v>
      </c>
      <c r="C752" s="22" t="s">
        <v>124</v>
      </c>
      <c r="D752" s="23">
        <v>2</v>
      </c>
      <c r="E752" s="24">
        <f>SUM($D$2:D752)/SUM($D$2:$D$2846)</f>
        <v>0.8103653355989805</v>
      </c>
      <c r="F752" s="22" t="s">
        <v>53</v>
      </c>
      <c r="G752" s="25" t="s">
        <v>125</v>
      </c>
    </row>
    <row r="753" spans="1:7">
      <c r="A753" s="21" t="s">
        <v>880</v>
      </c>
      <c r="B753" s="26" t="s">
        <v>163</v>
      </c>
      <c r="C753" s="22" t="s">
        <v>45</v>
      </c>
      <c r="D753" s="23">
        <v>2</v>
      </c>
      <c r="E753" s="24">
        <f>SUM($D$2:D753)/SUM($D$2:$D$2846)</f>
        <v>0.81053525913338997</v>
      </c>
      <c r="F753" s="22" t="s">
        <v>53</v>
      </c>
      <c r="G753" s="25" t="s">
        <v>164</v>
      </c>
    </row>
    <row r="754" spans="1:7">
      <c r="A754" s="21" t="s">
        <v>881</v>
      </c>
      <c r="B754" s="26" t="s">
        <v>163</v>
      </c>
      <c r="C754" s="22" t="s">
        <v>45</v>
      </c>
      <c r="D754" s="23">
        <v>2</v>
      </c>
      <c r="E754" s="24">
        <f>SUM($D$2:D754)/SUM($D$2:$D$2846)</f>
        <v>0.81070518266779945</v>
      </c>
      <c r="F754" s="22" t="s">
        <v>53</v>
      </c>
      <c r="G754" s="25" t="s">
        <v>164</v>
      </c>
    </row>
    <row r="755" spans="1:7">
      <c r="A755" s="21" t="s">
        <v>882</v>
      </c>
      <c r="B755" s="26" t="s">
        <v>163</v>
      </c>
      <c r="C755" s="22" t="s">
        <v>45</v>
      </c>
      <c r="D755" s="23">
        <v>2</v>
      </c>
      <c r="E755" s="24">
        <f>SUM($D$2:D755)/SUM($D$2:$D$2846)</f>
        <v>0.81087510620220904</v>
      </c>
      <c r="F755" s="22" t="s">
        <v>53</v>
      </c>
      <c r="G755" s="25" t="s">
        <v>164</v>
      </c>
    </row>
    <row r="756" spans="1:7">
      <c r="A756" s="21" t="s">
        <v>883</v>
      </c>
      <c r="B756" s="26" t="s">
        <v>163</v>
      </c>
      <c r="C756" s="22" t="s">
        <v>45</v>
      </c>
      <c r="D756" s="23">
        <v>2</v>
      </c>
      <c r="E756" s="24">
        <f>SUM($D$2:D756)/SUM($D$2:$D$2846)</f>
        <v>0.81104502973661852</v>
      </c>
      <c r="F756" s="22" t="s">
        <v>53</v>
      </c>
      <c r="G756" s="25" t="s">
        <v>164</v>
      </c>
    </row>
    <row r="757" spans="1:7">
      <c r="A757" s="21" t="s">
        <v>884</v>
      </c>
      <c r="B757" s="26" t="s">
        <v>163</v>
      </c>
      <c r="C757" s="22" t="s">
        <v>45</v>
      </c>
      <c r="D757" s="23">
        <v>2</v>
      </c>
      <c r="E757" s="24">
        <f>SUM($D$2:D757)/SUM($D$2:$D$2846)</f>
        <v>0.81121495327102799</v>
      </c>
      <c r="F757" s="22" t="s">
        <v>53</v>
      </c>
      <c r="G757" s="25" t="s">
        <v>164</v>
      </c>
    </row>
    <row r="758" spans="1:7">
      <c r="A758" s="21" t="s">
        <v>885</v>
      </c>
      <c r="B758" s="22" t="s">
        <v>56</v>
      </c>
      <c r="C758" s="22" t="s">
        <v>124</v>
      </c>
      <c r="D758" s="23">
        <v>2</v>
      </c>
      <c r="E758" s="24">
        <f>SUM($D$2:D758)/SUM($D$2:$D$2846)</f>
        <v>0.81138487680543758</v>
      </c>
      <c r="F758" s="22" t="s">
        <v>53</v>
      </c>
      <c r="G758" s="25" t="s">
        <v>125</v>
      </c>
    </row>
    <row r="759" spans="1:7">
      <c r="A759" s="21" t="s">
        <v>886</v>
      </c>
      <c r="B759" s="22" t="s">
        <v>56</v>
      </c>
      <c r="C759" s="22" t="s">
        <v>124</v>
      </c>
      <c r="D759" s="23">
        <v>2</v>
      </c>
      <c r="E759" s="24">
        <f>SUM($D$2:D759)/SUM($D$2:$D$2846)</f>
        <v>0.81155480033984706</v>
      </c>
      <c r="F759" s="22" t="s">
        <v>53</v>
      </c>
      <c r="G759" s="25" t="s">
        <v>125</v>
      </c>
    </row>
    <row r="760" spans="1:7">
      <c r="A760" s="21" t="s">
        <v>887</v>
      </c>
      <c r="B760" s="26" t="s">
        <v>163</v>
      </c>
      <c r="C760" s="22" t="s">
        <v>45</v>
      </c>
      <c r="D760" s="23">
        <v>2</v>
      </c>
      <c r="E760" s="24">
        <f>SUM($D$2:D760)/SUM($D$2:$D$2846)</f>
        <v>0.81172472387425654</v>
      </c>
      <c r="F760" s="22" t="s">
        <v>53</v>
      </c>
      <c r="G760" s="25" t="s">
        <v>164</v>
      </c>
    </row>
    <row r="761" spans="1:7">
      <c r="A761" s="21" t="s">
        <v>888</v>
      </c>
      <c r="B761" s="22" t="s">
        <v>56</v>
      </c>
      <c r="C761" s="22" t="s">
        <v>124</v>
      </c>
      <c r="D761" s="23">
        <v>2</v>
      </c>
      <c r="E761" s="24">
        <f>SUM($D$2:D761)/SUM($D$2:$D$2846)</f>
        <v>0.81189464740866613</v>
      </c>
      <c r="F761" s="22" t="s">
        <v>53</v>
      </c>
      <c r="G761" s="25" t="s">
        <v>125</v>
      </c>
    </row>
    <row r="762" spans="1:7">
      <c r="A762" s="21" t="s">
        <v>889</v>
      </c>
      <c r="B762" s="26" t="s">
        <v>163</v>
      </c>
      <c r="C762" s="22" t="s">
        <v>45</v>
      </c>
      <c r="D762" s="23">
        <v>2</v>
      </c>
      <c r="E762" s="24">
        <f>SUM($D$2:D762)/SUM($D$2:$D$2846)</f>
        <v>0.8120645709430756</v>
      </c>
      <c r="F762" s="22" t="s">
        <v>53</v>
      </c>
      <c r="G762" s="25" t="s">
        <v>164</v>
      </c>
    </row>
    <row r="763" spans="1:7">
      <c r="A763" s="21" t="s">
        <v>890</v>
      </c>
      <c r="B763" s="26" t="s">
        <v>163</v>
      </c>
      <c r="C763" s="22" t="s">
        <v>45</v>
      </c>
      <c r="D763" s="23">
        <v>2</v>
      </c>
      <c r="E763" s="24">
        <f>SUM($D$2:D763)/SUM($D$2:$D$2846)</f>
        <v>0.81223449447748508</v>
      </c>
      <c r="F763" s="22" t="s">
        <v>53</v>
      </c>
      <c r="G763" s="25" t="s">
        <v>164</v>
      </c>
    </row>
    <row r="764" spans="1:7">
      <c r="A764" s="21" t="s">
        <v>891</v>
      </c>
      <c r="B764" s="22" t="s">
        <v>56</v>
      </c>
      <c r="C764" s="22" t="s">
        <v>124</v>
      </c>
      <c r="D764" s="23">
        <v>2</v>
      </c>
      <c r="E764" s="24">
        <f>SUM($D$2:D764)/SUM($D$2:$D$2846)</f>
        <v>0.81240441801189467</v>
      </c>
      <c r="F764" s="22" t="s">
        <v>53</v>
      </c>
      <c r="G764" s="25" t="s">
        <v>125</v>
      </c>
    </row>
    <row r="765" spans="1:7">
      <c r="A765" s="21" t="s">
        <v>892</v>
      </c>
      <c r="B765" s="22" t="s">
        <v>56</v>
      </c>
      <c r="C765" s="22" t="s">
        <v>124</v>
      </c>
      <c r="D765" s="23">
        <v>2</v>
      </c>
      <c r="E765" s="24">
        <f>SUM($D$2:D765)/SUM($D$2:$D$2846)</f>
        <v>0.81257434154630415</v>
      </c>
      <c r="F765" s="22" t="s">
        <v>53</v>
      </c>
      <c r="G765" s="25" t="s">
        <v>125</v>
      </c>
    </row>
    <row r="766" spans="1:7">
      <c r="A766" s="21" t="s">
        <v>893</v>
      </c>
      <c r="B766" s="22" t="s">
        <v>56</v>
      </c>
      <c r="C766" s="22" t="s">
        <v>124</v>
      </c>
      <c r="D766" s="23">
        <v>2</v>
      </c>
      <c r="E766" s="24">
        <f>SUM($D$2:D766)/SUM($D$2:$D$2846)</f>
        <v>0.81274426508071362</v>
      </c>
      <c r="F766" s="22" t="s">
        <v>53</v>
      </c>
      <c r="G766" s="25" t="s">
        <v>125</v>
      </c>
    </row>
    <row r="767" spans="1:7">
      <c r="A767" s="21" t="s">
        <v>894</v>
      </c>
      <c r="B767" s="26" t="s">
        <v>163</v>
      </c>
      <c r="C767" s="22" t="s">
        <v>45</v>
      </c>
      <c r="D767" s="23">
        <v>2</v>
      </c>
      <c r="E767" s="24">
        <f>SUM($D$2:D767)/SUM($D$2:$D$2846)</f>
        <v>0.81291418861512321</v>
      </c>
      <c r="F767" s="22" t="s">
        <v>53</v>
      </c>
      <c r="G767" s="25" t="s">
        <v>164</v>
      </c>
    </row>
    <row r="768" spans="1:7">
      <c r="A768" s="21" t="s">
        <v>895</v>
      </c>
      <c r="B768" s="22" t="s">
        <v>56</v>
      </c>
      <c r="C768" s="22" t="s">
        <v>124</v>
      </c>
      <c r="D768" s="23">
        <v>2</v>
      </c>
      <c r="E768" s="24">
        <f>SUM($D$2:D768)/SUM($D$2:$D$2846)</f>
        <v>0.81308411214953269</v>
      </c>
      <c r="F768" s="22" t="s">
        <v>53</v>
      </c>
      <c r="G768" s="25" t="s">
        <v>125</v>
      </c>
    </row>
    <row r="769" spans="1:7">
      <c r="A769" s="21" t="s">
        <v>896</v>
      </c>
      <c r="B769" s="22" t="s">
        <v>56</v>
      </c>
      <c r="C769" s="22" t="s">
        <v>124</v>
      </c>
      <c r="D769" s="23">
        <v>2</v>
      </c>
      <c r="E769" s="24">
        <f>SUM($D$2:D769)/SUM($D$2:$D$2846)</f>
        <v>0.81325403568394228</v>
      </c>
      <c r="F769" s="22" t="s">
        <v>53</v>
      </c>
      <c r="G769" s="25" t="s">
        <v>125</v>
      </c>
    </row>
    <row r="770" spans="1:7">
      <c r="A770" s="21" t="s">
        <v>897</v>
      </c>
      <c r="B770" s="22" t="s">
        <v>56</v>
      </c>
      <c r="C770" s="22" t="s">
        <v>124</v>
      </c>
      <c r="D770" s="23">
        <v>2</v>
      </c>
      <c r="E770" s="24">
        <f>SUM($D$2:D770)/SUM($D$2:$D$2846)</f>
        <v>0.81342395921835176</v>
      </c>
      <c r="F770" s="22" t="s">
        <v>53</v>
      </c>
      <c r="G770" s="25" t="s">
        <v>125</v>
      </c>
    </row>
    <row r="771" spans="1:7">
      <c r="A771" s="21" t="s">
        <v>898</v>
      </c>
      <c r="B771" s="22" t="s">
        <v>44</v>
      </c>
      <c r="C771" s="22" t="s">
        <v>124</v>
      </c>
      <c r="D771" s="23">
        <v>2</v>
      </c>
      <c r="E771" s="24">
        <f>SUM($D$2:D771)/SUM($D$2:$D$2846)</f>
        <v>0.81359388275276123</v>
      </c>
      <c r="F771" s="22" t="s">
        <v>53</v>
      </c>
      <c r="G771" s="25" t="s">
        <v>194</v>
      </c>
    </row>
    <row r="772" spans="1:7">
      <c r="A772" s="21" t="s">
        <v>899</v>
      </c>
      <c r="B772" s="22" t="s">
        <v>56</v>
      </c>
      <c r="C772" s="22" t="s">
        <v>124</v>
      </c>
      <c r="D772" s="23">
        <v>2</v>
      </c>
      <c r="E772" s="24">
        <f>SUM($D$2:D772)/SUM($D$2:$D$2846)</f>
        <v>0.81376380628717082</v>
      </c>
      <c r="F772" s="22" t="s">
        <v>53</v>
      </c>
      <c r="G772" s="25" t="s">
        <v>125</v>
      </c>
    </row>
    <row r="773" spans="1:7">
      <c r="A773" s="21" t="s">
        <v>900</v>
      </c>
      <c r="B773" s="22" t="s">
        <v>56</v>
      </c>
      <c r="C773" s="22" t="s">
        <v>124</v>
      </c>
      <c r="D773" s="23">
        <v>2</v>
      </c>
      <c r="E773" s="24">
        <f>SUM($D$2:D773)/SUM($D$2:$D$2846)</f>
        <v>0.8139337298215803</v>
      </c>
      <c r="F773" s="22" t="s">
        <v>53</v>
      </c>
      <c r="G773" s="25" t="s">
        <v>125</v>
      </c>
    </row>
    <row r="774" spans="1:7">
      <c r="A774" s="21" t="s">
        <v>901</v>
      </c>
      <c r="B774" s="22" t="s">
        <v>56</v>
      </c>
      <c r="C774" s="22" t="s">
        <v>124</v>
      </c>
      <c r="D774" s="23">
        <v>2</v>
      </c>
      <c r="E774" s="24">
        <f>SUM($D$2:D774)/SUM($D$2:$D$2846)</f>
        <v>0.81410365335598978</v>
      </c>
      <c r="F774" s="22" t="s">
        <v>53</v>
      </c>
      <c r="G774" s="25" t="s">
        <v>125</v>
      </c>
    </row>
    <row r="775" spans="1:7">
      <c r="A775" s="21" t="s">
        <v>902</v>
      </c>
      <c r="B775" s="22" t="s">
        <v>56</v>
      </c>
      <c r="C775" s="22" t="s">
        <v>124</v>
      </c>
      <c r="D775" s="23">
        <v>2</v>
      </c>
      <c r="E775" s="24">
        <f>SUM($D$2:D775)/SUM($D$2:$D$2846)</f>
        <v>0.81427357689039936</v>
      </c>
      <c r="F775" s="22" t="s">
        <v>53</v>
      </c>
      <c r="G775" s="25" t="s">
        <v>125</v>
      </c>
    </row>
    <row r="776" spans="1:7">
      <c r="A776" s="21" t="s">
        <v>903</v>
      </c>
      <c r="B776" s="22" t="s">
        <v>56</v>
      </c>
      <c r="C776" s="22" t="s">
        <v>124</v>
      </c>
      <c r="D776" s="23">
        <v>2</v>
      </c>
      <c r="E776" s="24">
        <f>SUM($D$2:D776)/SUM($D$2:$D$2846)</f>
        <v>0.81444350042480884</v>
      </c>
      <c r="F776" s="22" t="s">
        <v>53</v>
      </c>
      <c r="G776" s="25" t="s">
        <v>125</v>
      </c>
    </row>
    <row r="777" spans="1:7">
      <c r="A777" s="21" t="s">
        <v>904</v>
      </c>
      <c r="B777" s="22" t="s">
        <v>56</v>
      </c>
      <c r="C777" s="22" t="s">
        <v>124</v>
      </c>
      <c r="D777" s="23">
        <v>2</v>
      </c>
      <c r="E777" s="24">
        <f>SUM($D$2:D777)/SUM($D$2:$D$2846)</f>
        <v>0.81461342395921832</v>
      </c>
      <c r="F777" s="22" t="s">
        <v>53</v>
      </c>
      <c r="G777" s="25" t="s">
        <v>125</v>
      </c>
    </row>
    <row r="778" spans="1:7">
      <c r="A778" s="21" t="s">
        <v>905</v>
      </c>
      <c r="B778" s="22" t="s">
        <v>56</v>
      </c>
      <c r="C778" s="22" t="s">
        <v>124</v>
      </c>
      <c r="D778" s="23">
        <v>2</v>
      </c>
      <c r="E778" s="24">
        <f>SUM($D$2:D778)/SUM($D$2:$D$2846)</f>
        <v>0.81478334749362791</v>
      </c>
      <c r="F778" s="22" t="s">
        <v>53</v>
      </c>
      <c r="G778" s="25" t="s">
        <v>125</v>
      </c>
    </row>
    <row r="779" spans="1:7">
      <c r="A779" s="21" t="s">
        <v>906</v>
      </c>
      <c r="B779" s="22" t="s">
        <v>56</v>
      </c>
      <c r="C779" s="22" t="s">
        <v>124</v>
      </c>
      <c r="D779" s="23">
        <v>2</v>
      </c>
      <c r="E779" s="24">
        <f>SUM($D$2:D779)/SUM($D$2:$D$2846)</f>
        <v>0.81495327102803738</v>
      </c>
      <c r="F779" s="22" t="s">
        <v>53</v>
      </c>
      <c r="G779" s="25" t="s">
        <v>125</v>
      </c>
    </row>
    <row r="780" spans="1:7">
      <c r="A780" s="21" t="s">
        <v>907</v>
      </c>
      <c r="B780" s="22" t="s">
        <v>56</v>
      </c>
      <c r="C780" s="22" t="s">
        <v>124</v>
      </c>
      <c r="D780" s="23">
        <v>2</v>
      </c>
      <c r="E780" s="24">
        <f>SUM($D$2:D780)/SUM($D$2:$D$2846)</f>
        <v>0.81512319456244686</v>
      </c>
      <c r="F780" s="22" t="s">
        <v>53</v>
      </c>
      <c r="G780" s="25" t="s">
        <v>125</v>
      </c>
    </row>
    <row r="781" spans="1:7">
      <c r="A781" s="21" t="s">
        <v>908</v>
      </c>
      <c r="B781" s="22" t="s">
        <v>56</v>
      </c>
      <c r="C781" s="22" t="s">
        <v>124</v>
      </c>
      <c r="D781" s="23">
        <v>2</v>
      </c>
      <c r="E781" s="24">
        <f>SUM($D$2:D781)/SUM($D$2:$D$2846)</f>
        <v>0.81529311809685645</v>
      </c>
      <c r="F781" s="22" t="s">
        <v>53</v>
      </c>
      <c r="G781" s="25" t="s">
        <v>125</v>
      </c>
    </row>
    <row r="782" spans="1:7">
      <c r="A782" s="21" t="s">
        <v>909</v>
      </c>
      <c r="B782" s="22" t="s">
        <v>56</v>
      </c>
      <c r="C782" s="22" t="s">
        <v>124</v>
      </c>
      <c r="D782" s="23">
        <v>2</v>
      </c>
      <c r="E782" s="24">
        <f>SUM($D$2:D782)/SUM($D$2:$D$2846)</f>
        <v>0.81546304163126593</v>
      </c>
      <c r="F782" s="22" t="s">
        <v>53</v>
      </c>
      <c r="G782" s="25" t="s">
        <v>125</v>
      </c>
    </row>
    <row r="783" spans="1:7">
      <c r="A783" s="21" t="s">
        <v>910</v>
      </c>
      <c r="B783" s="22" t="s">
        <v>56</v>
      </c>
      <c r="C783" s="22" t="s">
        <v>124</v>
      </c>
      <c r="D783" s="23">
        <v>2</v>
      </c>
      <c r="E783" s="24">
        <f>SUM($D$2:D783)/SUM($D$2:$D$2846)</f>
        <v>0.81563296516567541</v>
      </c>
      <c r="F783" s="22" t="s">
        <v>53</v>
      </c>
      <c r="G783" s="25" t="s">
        <v>125</v>
      </c>
    </row>
    <row r="784" spans="1:7">
      <c r="A784" s="21" t="s">
        <v>911</v>
      </c>
      <c r="B784" s="22" t="s">
        <v>56</v>
      </c>
      <c r="C784" s="22" t="s">
        <v>124</v>
      </c>
      <c r="D784" s="23">
        <v>2</v>
      </c>
      <c r="E784" s="24">
        <f>SUM($D$2:D784)/SUM($D$2:$D$2846)</f>
        <v>0.81580288870008499</v>
      </c>
      <c r="F784" s="22" t="s">
        <v>53</v>
      </c>
      <c r="G784" s="25" t="s">
        <v>125</v>
      </c>
    </row>
    <row r="785" spans="1:7">
      <c r="A785" s="21" t="s">
        <v>912</v>
      </c>
      <c r="B785" s="22" t="s">
        <v>56</v>
      </c>
      <c r="C785" s="22" t="s">
        <v>124</v>
      </c>
      <c r="D785" s="23">
        <v>2</v>
      </c>
      <c r="E785" s="24">
        <f>SUM($D$2:D785)/SUM($D$2:$D$2846)</f>
        <v>0.81597281223449447</v>
      </c>
      <c r="F785" s="22" t="s">
        <v>53</v>
      </c>
      <c r="G785" s="25" t="s">
        <v>125</v>
      </c>
    </row>
    <row r="786" spans="1:7">
      <c r="A786" s="21" t="s">
        <v>913</v>
      </c>
      <c r="B786" s="22" t="s">
        <v>56</v>
      </c>
      <c r="C786" s="22" t="s">
        <v>124</v>
      </c>
      <c r="D786" s="23">
        <v>2</v>
      </c>
      <c r="E786" s="24">
        <f>SUM($D$2:D786)/SUM($D$2:$D$2846)</f>
        <v>0.81614273576890395</v>
      </c>
      <c r="F786" s="22" t="s">
        <v>53</v>
      </c>
      <c r="G786" s="25" t="s">
        <v>125</v>
      </c>
    </row>
    <row r="787" spans="1:7">
      <c r="A787" s="21" t="s">
        <v>914</v>
      </c>
      <c r="B787" s="22" t="s">
        <v>56</v>
      </c>
      <c r="C787" s="22" t="s">
        <v>124</v>
      </c>
      <c r="D787" s="23">
        <v>2</v>
      </c>
      <c r="E787" s="24">
        <f>SUM($D$2:D787)/SUM($D$2:$D$2846)</f>
        <v>0.81631265930331354</v>
      </c>
      <c r="F787" s="22" t="s">
        <v>53</v>
      </c>
      <c r="G787" s="25" t="s">
        <v>125</v>
      </c>
    </row>
    <row r="788" spans="1:7">
      <c r="A788" s="21" t="s">
        <v>915</v>
      </c>
      <c r="B788" s="22" t="s">
        <v>56</v>
      </c>
      <c r="C788" s="22" t="s">
        <v>124</v>
      </c>
      <c r="D788" s="23">
        <v>2</v>
      </c>
      <c r="E788" s="24">
        <f>SUM($D$2:D788)/SUM($D$2:$D$2846)</f>
        <v>0.81648258283772301</v>
      </c>
      <c r="F788" s="22" t="s">
        <v>53</v>
      </c>
      <c r="G788" s="25" t="s">
        <v>125</v>
      </c>
    </row>
    <row r="789" spans="1:7">
      <c r="A789" s="21" t="s">
        <v>916</v>
      </c>
      <c r="B789" s="22" t="s">
        <v>56</v>
      </c>
      <c r="C789" s="22" t="s">
        <v>124</v>
      </c>
      <c r="D789" s="23">
        <v>2</v>
      </c>
      <c r="E789" s="24">
        <f>SUM($D$2:D789)/SUM($D$2:$D$2846)</f>
        <v>0.81665250637213249</v>
      </c>
      <c r="F789" s="22" t="s">
        <v>53</v>
      </c>
      <c r="G789" s="25" t="s">
        <v>125</v>
      </c>
    </row>
    <row r="790" spans="1:7">
      <c r="A790" s="21" t="s">
        <v>917</v>
      </c>
      <c r="B790" s="26" t="s">
        <v>163</v>
      </c>
      <c r="C790" s="22" t="s">
        <v>45</v>
      </c>
      <c r="D790" s="23">
        <v>2</v>
      </c>
      <c r="E790" s="24">
        <f>SUM($D$2:D790)/SUM($D$2:$D$2846)</f>
        <v>0.81682242990654208</v>
      </c>
      <c r="F790" s="22" t="s">
        <v>53</v>
      </c>
      <c r="G790" s="25" t="s">
        <v>164</v>
      </c>
    </row>
    <row r="791" spans="1:7">
      <c r="A791" s="21" t="s">
        <v>918</v>
      </c>
      <c r="B791" s="22" t="s">
        <v>56</v>
      </c>
      <c r="C791" s="22" t="s">
        <v>124</v>
      </c>
      <c r="D791" s="23">
        <v>2</v>
      </c>
      <c r="E791" s="24">
        <f>SUM($D$2:D791)/SUM($D$2:$D$2846)</f>
        <v>0.81699235344095156</v>
      </c>
      <c r="F791" s="22" t="s">
        <v>53</v>
      </c>
      <c r="G791" s="25" t="s">
        <v>125</v>
      </c>
    </row>
    <row r="792" spans="1:7">
      <c r="A792" s="21" t="s">
        <v>919</v>
      </c>
      <c r="B792" s="22" t="s">
        <v>56</v>
      </c>
      <c r="C792" s="22" t="s">
        <v>124</v>
      </c>
      <c r="D792" s="23">
        <v>2</v>
      </c>
      <c r="E792" s="24">
        <f>SUM($D$2:D792)/SUM($D$2:$D$2846)</f>
        <v>0.81716227697536103</v>
      </c>
      <c r="F792" s="22" t="s">
        <v>53</v>
      </c>
      <c r="G792" s="25" t="s">
        <v>125</v>
      </c>
    </row>
    <row r="793" spans="1:7">
      <c r="A793" s="21" t="s">
        <v>920</v>
      </c>
      <c r="B793" s="22" t="s">
        <v>56</v>
      </c>
      <c r="C793" s="22" t="s">
        <v>124</v>
      </c>
      <c r="D793" s="23">
        <v>2</v>
      </c>
      <c r="E793" s="24">
        <f>SUM($D$2:D793)/SUM($D$2:$D$2846)</f>
        <v>0.81733220050977062</v>
      </c>
      <c r="F793" s="22" t="s">
        <v>53</v>
      </c>
      <c r="G793" s="25" t="s">
        <v>125</v>
      </c>
    </row>
    <row r="794" spans="1:7">
      <c r="A794" s="21" t="s">
        <v>921</v>
      </c>
      <c r="B794" s="22" t="s">
        <v>56</v>
      </c>
      <c r="C794" s="22" t="s">
        <v>124</v>
      </c>
      <c r="D794" s="23">
        <v>2</v>
      </c>
      <c r="E794" s="24">
        <f>SUM($D$2:D794)/SUM($D$2:$D$2846)</f>
        <v>0.8175021240441801</v>
      </c>
      <c r="F794" s="22" t="s">
        <v>53</v>
      </c>
      <c r="G794" s="25" t="s">
        <v>125</v>
      </c>
    </row>
    <row r="795" spans="1:7">
      <c r="A795" s="21" t="s">
        <v>922</v>
      </c>
      <c r="B795" s="22" t="s">
        <v>56</v>
      </c>
      <c r="C795" s="22" t="s">
        <v>124</v>
      </c>
      <c r="D795" s="23">
        <v>2</v>
      </c>
      <c r="E795" s="24">
        <f>SUM($D$2:D795)/SUM($D$2:$D$2846)</f>
        <v>0.81767204757858969</v>
      </c>
      <c r="F795" s="22" t="s">
        <v>53</v>
      </c>
      <c r="G795" s="25" t="s">
        <v>125</v>
      </c>
    </row>
    <row r="796" spans="1:7">
      <c r="A796" s="21" t="s">
        <v>63</v>
      </c>
      <c r="B796" s="26" t="s">
        <v>129</v>
      </c>
      <c r="C796" s="22" t="s">
        <v>45</v>
      </c>
      <c r="D796" s="23">
        <v>2</v>
      </c>
      <c r="E796" s="24">
        <f>SUM($D$2:D796)/SUM($D$2:$D$2846)</f>
        <v>0.81784197111299917</v>
      </c>
      <c r="F796" s="22" t="s">
        <v>53</v>
      </c>
      <c r="G796" s="25" t="s">
        <v>57</v>
      </c>
    </row>
    <row r="797" spans="1:7">
      <c r="A797" s="21" t="s">
        <v>923</v>
      </c>
      <c r="B797" s="22" t="s">
        <v>129</v>
      </c>
      <c r="C797" s="22" t="s">
        <v>124</v>
      </c>
      <c r="D797" s="23">
        <v>2</v>
      </c>
      <c r="E797" s="24">
        <f>SUM($D$2:D797)/SUM($D$2:$D$2846)</f>
        <v>0.81801189464740864</v>
      </c>
      <c r="F797" s="22" t="s">
        <v>53</v>
      </c>
      <c r="G797" s="25" t="s">
        <v>130</v>
      </c>
    </row>
    <row r="798" spans="1:7">
      <c r="A798" s="21" t="s">
        <v>924</v>
      </c>
      <c r="B798" s="22" t="s">
        <v>129</v>
      </c>
      <c r="C798" s="22" t="s">
        <v>124</v>
      </c>
      <c r="D798" s="23">
        <v>2</v>
      </c>
      <c r="E798" s="24">
        <f>SUM($D$2:D798)/SUM($D$2:$D$2846)</f>
        <v>0.81818181818181823</v>
      </c>
      <c r="F798" s="22" t="s">
        <v>53</v>
      </c>
      <c r="G798" s="25" t="s">
        <v>130</v>
      </c>
    </row>
    <row r="799" spans="1:7">
      <c r="A799" s="21" t="s">
        <v>925</v>
      </c>
      <c r="B799" s="22" t="s">
        <v>129</v>
      </c>
      <c r="C799" s="22" t="s">
        <v>124</v>
      </c>
      <c r="D799" s="23">
        <v>2</v>
      </c>
      <c r="E799" s="24">
        <f>SUM($D$2:D799)/SUM($D$2:$D$2846)</f>
        <v>0.81835174171622771</v>
      </c>
      <c r="F799" s="22" t="s">
        <v>53</v>
      </c>
      <c r="G799" s="25" t="s">
        <v>130</v>
      </c>
    </row>
    <row r="800" spans="1:7">
      <c r="A800" s="21" t="s">
        <v>926</v>
      </c>
      <c r="B800" s="22" t="s">
        <v>129</v>
      </c>
      <c r="C800" s="22" t="s">
        <v>124</v>
      </c>
      <c r="D800" s="23">
        <v>2</v>
      </c>
      <c r="E800" s="24">
        <f>SUM($D$2:D800)/SUM($D$2:$D$2846)</f>
        <v>0.81852166525063719</v>
      </c>
      <c r="F800" s="22" t="s">
        <v>53</v>
      </c>
      <c r="G800" s="25" t="s">
        <v>130</v>
      </c>
    </row>
    <row r="801" spans="1:7">
      <c r="A801" s="21" t="s">
        <v>927</v>
      </c>
      <c r="B801" s="22" t="s">
        <v>56</v>
      </c>
      <c r="C801" s="22" t="s">
        <v>124</v>
      </c>
      <c r="D801" s="23">
        <v>2</v>
      </c>
      <c r="E801" s="24">
        <f>SUM($D$2:D801)/SUM($D$2:$D$2846)</f>
        <v>0.81869158878504678</v>
      </c>
      <c r="F801" s="22" t="s">
        <v>53</v>
      </c>
      <c r="G801" s="25" t="s">
        <v>125</v>
      </c>
    </row>
    <row r="802" spans="1:7">
      <c r="A802" s="21" t="s">
        <v>928</v>
      </c>
      <c r="B802" s="22" t="s">
        <v>56</v>
      </c>
      <c r="C802" s="22" t="s">
        <v>124</v>
      </c>
      <c r="D802" s="23">
        <v>2</v>
      </c>
      <c r="E802" s="24">
        <f>SUM($D$2:D802)/SUM($D$2:$D$2846)</f>
        <v>0.81886151231945625</v>
      </c>
      <c r="F802" s="22" t="s">
        <v>53</v>
      </c>
      <c r="G802" s="25" t="s">
        <v>125</v>
      </c>
    </row>
    <row r="803" spans="1:7">
      <c r="A803" s="21" t="s">
        <v>929</v>
      </c>
      <c r="B803" s="26" t="s">
        <v>163</v>
      </c>
      <c r="C803" s="22" t="s">
        <v>45</v>
      </c>
      <c r="D803" s="23">
        <v>2</v>
      </c>
      <c r="E803" s="24">
        <f>SUM($D$2:D803)/SUM($D$2:$D$2846)</f>
        <v>0.81903143585386573</v>
      </c>
      <c r="F803" s="22" t="s">
        <v>53</v>
      </c>
      <c r="G803" s="25" t="s">
        <v>164</v>
      </c>
    </row>
    <row r="804" spans="1:7">
      <c r="A804" s="21" t="s">
        <v>930</v>
      </c>
      <c r="B804" s="22" t="s">
        <v>56</v>
      </c>
      <c r="C804" s="22" t="s">
        <v>124</v>
      </c>
      <c r="D804" s="23">
        <v>2</v>
      </c>
      <c r="E804" s="24">
        <f>SUM($D$2:D804)/SUM($D$2:$D$2846)</f>
        <v>0.81920135938827532</v>
      </c>
      <c r="F804" s="22" t="s">
        <v>53</v>
      </c>
      <c r="G804" s="25" t="s">
        <v>125</v>
      </c>
    </row>
    <row r="805" spans="1:7">
      <c r="A805" s="21" t="s">
        <v>931</v>
      </c>
      <c r="B805" s="22" t="s">
        <v>56</v>
      </c>
      <c r="C805" s="22" t="s">
        <v>124</v>
      </c>
      <c r="D805" s="23">
        <v>2</v>
      </c>
      <c r="E805" s="24">
        <f>SUM($D$2:D805)/SUM($D$2:$D$2846)</f>
        <v>0.8193712829226848</v>
      </c>
      <c r="F805" s="22" t="s">
        <v>53</v>
      </c>
      <c r="G805" s="25" t="s">
        <v>125</v>
      </c>
    </row>
    <row r="806" spans="1:7">
      <c r="A806" s="21" t="s">
        <v>932</v>
      </c>
      <c r="B806" s="22" t="s">
        <v>56</v>
      </c>
      <c r="C806" s="22" t="s">
        <v>124</v>
      </c>
      <c r="D806" s="23">
        <v>2</v>
      </c>
      <c r="E806" s="24">
        <f>SUM($D$2:D806)/SUM($D$2:$D$2846)</f>
        <v>0.81954120645709427</v>
      </c>
      <c r="F806" s="22" t="s">
        <v>53</v>
      </c>
      <c r="G806" s="25" t="s">
        <v>125</v>
      </c>
    </row>
    <row r="807" spans="1:7">
      <c r="A807" s="21" t="s">
        <v>933</v>
      </c>
      <c r="B807" s="22" t="s">
        <v>56</v>
      </c>
      <c r="C807" s="22" t="s">
        <v>124</v>
      </c>
      <c r="D807" s="23">
        <v>2</v>
      </c>
      <c r="E807" s="24">
        <f>SUM($D$2:D807)/SUM($D$2:$D$2846)</f>
        <v>0.81971112999150386</v>
      </c>
      <c r="F807" s="22" t="s">
        <v>53</v>
      </c>
      <c r="G807" s="25" t="s">
        <v>125</v>
      </c>
    </row>
    <row r="808" spans="1:7">
      <c r="A808" s="21" t="s">
        <v>934</v>
      </c>
      <c r="B808" s="22" t="s">
        <v>56</v>
      </c>
      <c r="C808" s="22" t="s">
        <v>124</v>
      </c>
      <c r="D808" s="23">
        <v>2</v>
      </c>
      <c r="E808" s="24">
        <f>SUM($D$2:D808)/SUM($D$2:$D$2846)</f>
        <v>0.81988105352591334</v>
      </c>
      <c r="F808" s="22" t="s">
        <v>53</v>
      </c>
      <c r="G808" s="25" t="s">
        <v>125</v>
      </c>
    </row>
    <row r="809" spans="1:7">
      <c r="A809" s="21" t="s">
        <v>935</v>
      </c>
      <c r="B809" s="26" t="s">
        <v>163</v>
      </c>
      <c r="C809" s="22" t="s">
        <v>45</v>
      </c>
      <c r="D809" s="23">
        <v>2</v>
      </c>
      <c r="E809" s="24">
        <f>SUM($D$2:D809)/SUM($D$2:$D$2846)</f>
        <v>0.82005097706032282</v>
      </c>
      <c r="F809" s="22" t="s">
        <v>53</v>
      </c>
      <c r="G809" s="25" t="s">
        <v>164</v>
      </c>
    </row>
    <row r="810" spans="1:7">
      <c r="A810" s="21" t="s">
        <v>936</v>
      </c>
      <c r="B810" s="22" t="s">
        <v>56</v>
      </c>
      <c r="C810" s="22" t="s">
        <v>124</v>
      </c>
      <c r="D810" s="23">
        <v>2</v>
      </c>
      <c r="E810" s="24">
        <f>SUM($D$2:D810)/SUM($D$2:$D$2846)</f>
        <v>0.8202209005947324</v>
      </c>
      <c r="F810" s="22" t="s">
        <v>53</v>
      </c>
      <c r="G810" s="25" t="s">
        <v>125</v>
      </c>
    </row>
    <row r="811" spans="1:7">
      <c r="A811" s="21" t="s">
        <v>937</v>
      </c>
      <c r="B811" s="22" t="s">
        <v>56</v>
      </c>
      <c r="C811" s="22" t="s">
        <v>124</v>
      </c>
      <c r="D811" s="23">
        <v>2</v>
      </c>
      <c r="E811" s="24">
        <f>SUM($D$2:D811)/SUM($D$2:$D$2846)</f>
        <v>0.82039082412914188</v>
      </c>
      <c r="F811" s="22" t="s">
        <v>53</v>
      </c>
      <c r="G811" s="25" t="s">
        <v>125</v>
      </c>
    </row>
    <row r="812" spans="1:7">
      <c r="A812" s="21" t="s">
        <v>938</v>
      </c>
      <c r="B812" s="26" t="s">
        <v>163</v>
      </c>
      <c r="C812" s="22" t="s">
        <v>45</v>
      </c>
      <c r="D812" s="23">
        <v>2</v>
      </c>
      <c r="E812" s="24">
        <f>SUM($D$2:D812)/SUM($D$2:$D$2846)</f>
        <v>0.82056074766355136</v>
      </c>
      <c r="F812" s="22" t="s">
        <v>53</v>
      </c>
      <c r="G812" s="25" t="s">
        <v>164</v>
      </c>
    </row>
    <row r="813" spans="1:7">
      <c r="A813" s="21" t="s">
        <v>939</v>
      </c>
      <c r="B813" s="22" t="s">
        <v>56</v>
      </c>
      <c r="C813" s="22" t="s">
        <v>124</v>
      </c>
      <c r="D813" s="23">
        <v>2</v>
      </c>
      <c r="E813" s="24">
        <f>SUM($D$2:D813)/SUM($D$2:$D$2846)</f>
        <v>0.82073067119796095</v>
      </c>
      <c r="F813" s="22" t="s">
        <v>53</v>
      </c>
      <c r="G813" s="25" t="s">
        <v>125</v>
      </c>
    </row>
    <row r="814" spans="1:7">
      <c r="A814" s="21" t="s">
        <v>940</v>
      </c>
      <c r="B814" s="22" t="s">
        <v>56</v>
      </c>
      <c r="C814" s="22" t="s">
        <v>124</v>
      </c>
      <c r="D814" s="23">
        <v>2</v>
      </c>
      <c r="E814" s="24">
        <f>SUM($D$2:D814)/SUM($D$2:$D$2846)</f>
        <v>0.82090059473237043</v>
      </c>
      <c r="F814" s="22" t="s">
        <v>53</v>
      </c>
      <c r="G814" s="25" t="s">
        <v>125</v>
      </c>
    </row>
    <row r="815" spans="1:7">
      <c r="A815" s="21" t="s">
        <v>941</v>
      </c>
      <c r="B815" s="22" t="s">
        <v>56</v>
      </c>
      <c r="C815" s="22" t="s">
        <v>124</v>
      </c>
      <c r="D815" s="23">
        <v>2</v>
      </c>
      <c r="E815" s="24">
        <f>SUM($D$2:D815)/SUM($D$2:$D$2846)</f>
        <v>0.8210705182667799</v>
      </c>
      <c r="F815" s="22" t="s">
        <v>53</v>
      </c>
      <c r="G815" s="25" t="s">
        <v>125</v>
      </c>
    </row>
    <row r="816" spans="1:7">
      <c r="A816" s="21" t="s">
        <v>942</v>
      </c>
      <c r="B816" s="22" t="s">
        <v>56</v>
      </c>
      <c r="C816" s="22" t="s">
        <v>124</v>
      </c>
      <c r="D816" s="23">
        <v>2</v>
      </c>
      <c r="E816" s="24">
        <f>SUM($D$2:D816)/SUM($D$2:$D$2846)</f>
        <v>0.82124044180118949</v>
      </c>
      <c r="F816" s="22" t="s">
        <v>53</v>
      </c>
      <c r="G816" s="25" t="s">
        <v>125</v>
      </c>
    </row>
    <row r="817" spans="1:7">
      <c r="A817" s="21" t="s">
        <v>943</v>
      </c>
      <c r="B817" s="22" t="s">
        <v>56</v>
      </c>
      <c r="C817" s="22" t="s">
        <v>124</v>
      </c>
      <c r="D817" s="23">
        <v>2</v>
      </c>
      <c r="E817" s="24">
        <f>SUM($D$2:D817)/SUM($D$2:$D$2846)</f>
        <v>0.82141036533559897</v>
      </c>
      <c r="F817" s="22" t="s">
        <v>53</v>
      </c>
      <c r="G817" s="25" t="s">
        <v>125</v>
      </c>
    </row>
    <row r="818" spans="1:7">
      <c r="A818" s="21" t="s">
        <v>944</v>
      </c>
      <c r="B818" s="22" t="s">
        <v>56</v>
      </c>
      <c r="C818" s="22" t="s">
        <v>124</v>
      </c>
      <c r="D818" s="23">
        <v>2</v>
      </c>
      <c r="E818" s="24">
        <f>SUM($D$2:D818)/SUM($D$2:$D$2846)</f>
        <v>0.82158028887000845</v>
      </c>
      <c r="F818" s="22" t="s">
        <v>53</v>
      </c>
      <c r="G818" s="25" t="s">
        <v>125</v>
      </c>
    </row>
    <row r="819" spans="1:7">
      <c r="A819" s="21" t="s">
        <v>945</v>
      </c>
      <c r="B819" s="26" t="s">
        <v>163</v>
      </c>
      <c r="C819" s="22" t="s">
        <v>45</v>
      </c>
      <c r="D819" s="23">
        <v>2</v>
      </c>
      <c r="E819" s="24">
        <f>SUM($D$2:D819)/SUM($D$2:$D$2846)</f>
        <v>0.82175021240441803</v>
      </c>
      <c r="F819" s="22" t="s">
        <v>53</v>
      </c>
      <c r="G819" s="25" t="s">
        <v>164</v>
      </c>
    </row>
    <row r="820" spans="1:7">
      <c r="A820" s="21" t="s">
        <v>946</v>
      </c>
      <c r="B820" s="26" t="s">
        <v>163</v>
      </c>
      <c r="C820" s="22" t="s">
        <v>45</v>
      </c>
      <c r="D820" s="23">
        <v>2</v>
      </c>
      <c r="E820" s="24">
        <f>SUM($D$2:D820)/SUM($D$2:$D$2846)</f>
        <v>0.82192013593882751</v>
      </c>
      <c r="F820" s="22" t="s">
        <v>53</v>
      </c>
      <c r="G820" s="25" t="s">
        <v>164</v>
      </c>
    </row>
    <row r="821" spans="1:7">
      <c r="A821" s="21" t="s">
        <v>947</v>
      </c>
      <c r="B821" s="22" t="s">
        <v>56</v>
      </c>
      <c r="C821" s="22" t="s">
        <v>124</v>
      </c>
      <c r="D821" s="23">
        <v>2</v>
      </c>
      <c r="E821" s="24">
        <f>SUM($D$2:D821)/SUM($D$2:$D$2846)</f>
        <v>0.82209005947323699</v>
      </c>
      <c r="F821" s="22" t="s">
        <v>53</v>
      </c>
      <c r="G821" s="25" t="s">
        <v>125</v>
      </c>
    </row>
    <row r="822" spans="1:7">
      <c r="A822" s="21" t="s">
        <v>948</v>
      </c>
      <c r="B822" s="22" t="s">
        <v>56</v>
      </c>
      <c r="C822" s="22" t="s">
        <v>124</v>
      </c>
      <c r="D822" s="23">
        <v>2</v>
      </c>
      <c r="E822" s="24">
        <f>SUM($D$2:D822)/SUM($D$2:$D$2846)</f>
        <v>0.82225998300764658</v>
      </c>
      <c r="F822" s="22" t="s">
        <v>53</v>
      </c>
      <c r="G822" s="25" t="s">
        <v>125</v>
      </c>
    </row>
    <row r="823" spans="1:7">
      <c r="A823" s="21" t="s">
        <v>949</v>
      </c>
      <c r="B823" s="22" t="s">
        <v>56</v>
      </c>
      <c r="C823" s="22" t="s">
        <v>124</v>
      </c>
      <c r="D823" s="23">
        <v>2</v>
      </c>
      <c r="E823" s="24">
        <f>SUM($D$2:D823)/SUM($D$2:$D$2846)</f>
        <v>0.82242990654205606</v>
      </c>
      <c r="F823" s="22" t="s">
        <v>53</v>
      </c>
      <c r="G823" s="25" t="s">
        <v>125</v>
      </c>
    </row>
    <row r="824" spans="1:7">
      <c r="A824" s="21" t="s">
        <v>950</v>
      </c>
      <c r="B824" s="26" t="s">
        <v>163</v>
      </c>
      <c r="C824" s="22" t="s">
        <v>45</v>
      </c>
      <c r="D824" s="23">
        <v>2</v>
      </c>
      <c r="E824" s="24">
        <f>SUM($D$2:D824)/SUM($D$2:$D$2846)</f>
        <v>0.82259983007646564</v>
      </c>
      <c r="F824" s="22" t="s">
        <v>53</v>
      </c>
      <c r="G824" s="25" t="s">
        <v>164</v>
      </c>
    </row>
    <row r="825" spans="1:7">
      <c r="A825" s="21" t="s">
        <v>951</v>
      </c>
      <c r="B825" s="26" t="s">
        <v>163</v>
      </c>
      <c r="C825" s="22" t="s">
        <v>45</v>
      </c>
      <c r="D825" s="23">
        <v>2</v>
      </c>
      <c r="E825" s="24">
        <f>SUM($D$2:D825)/SUM($D$2:$D$2846)</f>
        <v>0.82276975361087512</v>
      </c>
      <c r="F825" s="22" t="s">
        <v>53</v>
      </c>
      <c r="G825" s="25" t="s">
        <v>164</v>
      </c>
    </row>
    <row r="826" spans="1:7">
      <c r="A826" s="21" t="s">
        <v>952</v>
      </c>
      <c r="B826" s="22" t="s">
        <v>56</v>
      </c>
      <c r="C826" s="22" t="s">
        <v>124</v>
      </c>
      <c r="D826" s="23">
        <v>2</v>
      </c>
      <c r="E826" s="24">
        <f>SUM($D$2:D826)/SUM($D$2:$D$2846)</f>
        <v>0.8229396771452846</v>
      </c>
      <c r="F826" s="22" t="s">
        <v>53</v>
      </c>
      <c r="G826" s="25" t="s">
        <v>125</v>
      </c>
    </row>
    <row r="827" spans="1:7">
      <c r="A827" s="21" t="s">
        <v>953</v>
      </c>
      <c r="B827" s="22" t="s">
        <v>56</v>
      </c>
      <c r="C827" s="22" t="s">
        <v>124</v>
      </c>
      <c r="D827" s="23">
        <v>2</v>
      </c>
      <c r="E827" s="24">
        <f>SUM($D$2:D827)/SUM($D$2:$D$2846)</f>
        <v>0.82310960067969419</v>
      </c>
      <c r="F827" s="22" t="s">
        <v>53</v>
      </c>
      <c r="G827" s="25" t="s">
        <v>125</v>
      </c>
    </row>
    <row r="828" spans="1:7">
      <c r="A828" s="21" t="s">
        <v>954</v>
      </c>
      <c r="B828" s="22" t="s">
        <v>56</v>
      </c>
      <c r="C828" s="22" t="s">
        <v>124</v>
      </c>
      <c r="D828" s="23">
        <v>2</v>
      </c>
      <c r="E828" s="24">
        <f>SUM($D$2:D828)/SUM($D$2:$D$2846)</f>
        <v>0.82327952421410366</v>
      </c>
      <c r="F828" s="22" t="s">
        <v>53</v>
      </c>
      <c r="G828" s="25" t="s">
        <v>125</v>
      </c>
    </row>
    <row r="829" spans="1:7">
      <c r="A829" s="21" t="s">
        <v>955</v>
      </c>
      <c r="B829" s="22" t="s">
        <v>56</v>
      </c>
      <c r="C829" s="22" t="s">
        <v>124</v>
      </c>
      <c r="D829" s="23">
        <v>2</v>
      </c>
      <c r="E829" s="24">
        <f>SUM($D$2:D829)/SUM($D$2:$D$2846)</f>
        <v>0.82344944774851314</v>
      </c>
      <c r="F829" s="22" t="s">
        <v>53</v>
      </c>
      <c r="G829" s="25" t="s">
        <v>125</v>
      </c>
    </row>
    <row r="830" spans="1:7">
      <c r="A830" s="21" t="s">
        <v>956</v>
      </c>
      <c r="B830" s="22" t="s">
        <v>56</v>
      </c>
      <c r="C830" s="22" t="s">
        <v>124</v>
      </c>
      <c r="D830" s="23">
        <v>2</v>
      </c>
      <c r="E830" s="24">
        <f>SUM($D$2:D830)/SUM($D$2:$D$2846)</f>
        <v>0.82361937128292273</v>
      </c>
      <c r="F830" s="22" t="s">
        <v>53</v>
      </c>
      <c r="G830" s="25" t="s">
        <v>125</v>
      </c>
    </row>
    <row r="831" spans="1:7">
      <c r="A831" s="21" t="s">
        <v>957</v>
      </c>
      <c r="B831" s="22" t="s">
        <v>56</v>
      </c>
      <c r="C831" s="22" t="s">
        <v>124</v>
      </c>
      <c r="D831" s="23">
        <v>2</v>
      </c>
      <c r="E831" s="24">
        <f>SUM($D$2:D831)/SUM($D$2:$D$2846)</f>
        <v>0.82378929481733221</v>
      </c>
      <c r="F831" s="22" t="s">
        <v>53</v>
      </c>
      <c r="G831" s="25" t="s">
        <v>125</v>
      </c>
    </row>
    <row r="832" spans="1:7">
      <c r="A832" s="21" t="s">
        <v>958</v>
      </c>
      <c r="B832" s="22" t="s">
        <v>56</v>
      </c>
      <c r="C832" s="22" t="s">
        <v>124</v>
      </c>
      <c r="D832" s="23">
        <v>2</v>
      </c>
      <c r="E832" s="24">
        <f>SUM($D$2:D832)/SUM($D$2:$D$2846)</f>
        <v>0.82395921835174168</v>
      </c>
      <c r="F832" s="22" t="s">
        <v>53</v>
      </c>
      <c r="G832" s="25" t="s">
        <v>125</v>
      </c>
    </row>
    <row r="833" spans="1:7">
      <c r="A833" s="21" t="s">
        <v>959</v>
      </c>
      <c r="B833" s="22" t="s">
        <v>56</v>
      </c>
      <c r="C833" s="22" t="s">
        <v>124</v>
      </c>
      <c r="D833" s="23">
        <v>2</v>
      </c>
      <c r="E833" s="24">
        <f>SUM($D$2:D833)/SUM($D$2:$D$2846)</f>
        <v>0.82412914188615127</v>
      </c>
      <c r="F833" s="22" t="s">
        <v>53</v>
      </c>
      <c r="G833" s="25" t="s">
        <v>125</v>
      </c>
    </row>
    <row r="834" spans="1:7">
      <c r="A834" s="21" t="s">
        <v>960</v>
      </c>
      <c r="B834" s="26" t="s">
        <v>163</v>
      </c>
      <c r="C834" s="22" t="s">
        <v>45</v>
      </c>
      <c r="D834" s="23">
        <v>2</v>
      </c>
      <c r="E834" s="24">
        <f>SUM($D$2:D834)/SUM($D$2:$D$2846)</f>
        <v>0.82429906542056075</v>
      </c>
      <c r="F834" s="22" t="s">
        <v>53</v>
      </c>
      <c r="G834" s="25" t="s">
        <v>164</v>
      </c>
    </row>
    <row r="835" spans="1:7">
      <c r="A835" s="21" t="s">
        <v>961</v>
      </c>
      <c r="B835" s="22" t="s">
        <v>56</v>
      </c>
      <c r="C835" s="22" t="s">
        <v>124</v>
      </c>
      <c r="D835" s="23">
        <v>2</v>
      </c>
      <c r="E835" s="24">
        <f>SUM($D$2:D835)/SUM($D$2:$D$2846)</f>
        <v>0.82446898895497023</v>
      </c>
      <c r="F835" s="22" t="s">
        <v>53</v>
      </c>
      <c r="G835" s="25" t="s">
        <v>125</v>
      </c>
    </row>
    <row r="836" spans="1:7">
      <c r="A836" s="21" t="s">
        <v>962</v>
      </c>
      <c r="B836" s="22" t="s">
        <v>56</v>
      </c>
      <c r="C836" s="22" t="s">
        <v>124</v>
      </c>
      <c r="D836" s="23">
        <v>2</v>
      </c>
      <c r="E836" s="24">
        <f>SUM($D$2:D836)/SUM($D$2:$D$2846)</f>
        <v>0.82463891248937982</v>
      </c>
      <c r="F836" s="22" t="s">
        <v>53</v>
      </c>
      <c r="G836" s="25" t="s">
        <v>125</v>
      </c>
    </row>
    <row r="837" spans="1:7">
      <c r="A837" s="21" t="s">
        <v>963</v>
      </c>
      <c r="B837" s="22" t="s">
        <v>56</v>
      </c>
      <c r="C837" s="22" t="s">
        <v>124</v>
      </c>
      <c r="D837" s="23">
        <v>2</v>
      </c>
      <c r="E837" s="24">
        <f>SUM($D$2:D837)/SUM($D$2:$D$2846)</f>
        <v>0.82480883602378929</v>
      </c>
      <c r="F837" s="22" t="s">
        <v>53</v>
      </c>
      <c r="G837" s="25" t="s">
        <v>125</v>
      </c>
    </row>
    <row r="838" spans="1:7">
      <c r="A838" s="21" t="s">
        <v>964</v>
      </c>
      <c r="B838" s="22" t="s">
        <v>56</v>
      </c>
      <c r="C838" s="22" t="s">
        <v>124</v>
      </c>
      <c r="D838" s="23">
        <v>2</v>
      </c>
      <c r="E838" s="24">
        <f>SUM($D$2:D838)/SUM($D$2:$D$2846)</f>
        <v>0.82497875955819877</v>
      </c>
      <c r="F838" s="22" t="s">
        <v>53</v>
      </c>
      <c r="G838" s="25" t="s">
        <v>125</v>
      </c>
    </row>
    <row r="839" spans="1:7">
      <c r="A839" s="21" t="s">
        <v>965</v>
      </c>
      <c r="B839" s="22" t="s">
        <v>56</v>
      </c>
      <c r="C839" s="22" t="s">
        <v>124</v>
      </c>
      <c r="D839" s="23">
        <v>2</v>
      </c>
      <c r="E839" s="24">
        <f>SUM($D$2:D839)/SUM($D$2:$D$2846)</f>
        <v>0.82514868309260836</v>
      </c>
      <c r="F839" s="22" t="s">
        <v>53</v>
      </c>
      <c r="G839" s="25" t="s">
        <v>125</v>
      </c>
    </row>
    <row r="840" spans="1:7">
      <c r="A840" s="21" t="s">
        <v>966</v>
      </c>
      <c r="B840" s="22" t="s">
        <v>56</v>
      </c>
      <c r="C840" s="22" t="s">
        <v>124</v>
      </c>
      <c r="D840" s="23">
        <v>2</v>
      </c>
      <c r="E840" s="24">
        <f>SUM($D$2:D840)/SUM($D$2:$D$2846)</f>
        <v>0.82531860662701784</v>
      </c>
      <c r="F840" s="22" t="s">
        <v>53</v>
      </c>
      <c r="G840" s="25" t="s">
        <v>125</v>
      </c>
    </row>
    <row r="841" spans="1:7">
      <c r="A841" s="21" t="s">
        <v>967</v>
      </c>
      <c r="B841" s="22" t="s">
        <v>129</v>
      </c>
      <c r="C841" s="22" t="s">
        <v>124</v>
      </c>
      <c r="D841" s="23">
        <v>2</v>
      </c>
      <c r="E841" s="24">
        <f>SUM($D$2:D841)/SUM($D$2:$D$2846)</f>
        <v>0.82548853016142731</v>
      </c>
      <c r="F841" s="22" t="s">
        <v>53</v>
      </c>
      <c r="G841" s="25" t="s">
        <v>130</v>
      </c>
    </row>
    <row r="842" spans="1:7">
      <c r="A842" s="21" t="s">
        <v>64</v>
      </c>
      <c r="B842" s="26" t="s">
        <v>44</v>
      </c>
      <c r="C842" s="22" t="s">
        <v>45</v>
      </c>
      <c r="D842" s="23">
        <v>2</v>
      </c>
      <c r="E842" s="24">
        <f>SUM($D$2:D842)/SUM($D$2:$D$2846)</f>
        <v>0.8256584536958369</v>
      </c>
      <c r="F842" s="22" t="s">
        <v>53</v>
      </c>
      <c r="G842" s="25" t="s">
        <v>57</v>
      </c>
    </row>
    <row r="843" spans="1:7">
      <c r="A843" s="21" t="s">
        <v>968</v>
      </c>
      <c r="B843" s="22" t="s">
        <v>129</v>
      </c>
      <c r="C843" s="22" t="s">
        <v>124</v>
      </c>
      <c r="D843" s="23">
        <v>2</v>
      </c>
      <c r="E843" s="24">
        <f>SUM($D$2:D843)/SUM($D$2:$D$2846)</f>
        <v>0.82582837723024638</v>
      </c>
      <c r="F843" s="22" t="s">
        <v>53</v>
      </c>
      <c r="G843" s="25" t="s">
        <v>130</v>
      </c>
    </row>
    <row r="844" spans="1:7">
      <c r="A844" s="21" t="s">
        <v>969</v>
      </c>
      <c r="B844" s="22" t="s">
        <v>56</v>
      </c>
      <c r="C844" s="22" t="s">
        <v>124</v>
      </c>
      <c r="D844" s="23">
        <v>2</v>
      </c>
      <c r="E844" s="24">
        <f>SUM($D$2:D844)/SUM($D$2:$D$2846)</f>
        <v>0.82599830076465586</v>
      </c>
      <c r="F844" s="22" t="s">
        <v>53</v>
      </c>
      <c r="G844" s="25" t="s">
        <v>125</v>
      </c>
    </row>
    <row r="845" spans="1:7">
      <c r="A845" s="21" t="s">
        <v>970</v>
      </c>
      <c r="B845" s="22" t="s">
        <v>56</v>
      </c>
      <c r="C845" s="22" t="s">
        <v>124</v>
      </c>
      <c r="D845" s="23">
        <v>2</v>
      </c>
      <c r="E845" s="24">
        <f>SUM($D$2:D845)/SUM($D$2:$D$2846)</f>
        <v>0.82616822429906545</v>
      </c>
      <c r="F845" s="22" t="s">
        <v>53</v>
      </c>
      <c r="G845" s="25" t="s">
        <v>125</v>
      </c>
    </row>
    <row r="846" spans="1:7">
      <c r="A846" s="21" t="s">
        <v>971</v>
      </c>
      <c r="B846" s="22" t="s">
        <v>56</v>
      </c>
      <c r="C846" s="22" t="s">
        <v>124</v>
      </c>
      <c r="D846" s="23">
        <v>2</v>
      </c>
      <c r="E846" s="24">
        <f>SUM($D$2:D846)/SUM($D$2:$D$2846)</f>
        <v>0.82633814783347492</v>
      </c>
      <c r="F846" s="22" t="s">
        <v>53</v>
      </c>
      <c r="G846" s="25" t="s">
        <v>125</v>
      </c>
    </row>
    <row r="847" spans="1:7">
      <c r="A847" s="21" t="s">
        <v>972</v>
      </c>
      <c r="B847" s="22" t="s">
        <v>56</v>
      </c>
      <c r="C847" s="22" t="s">
        <v>124</v>
      </c>
      <c r="D847" s="23">
        <v>2</v>
      </c>
      <c r="E847" s="24">
        <f>SUM($D$2:D847)/SUM($D$2:$D$2846)</f>
        <v>0.8265080713678844</v>
      </c>
      <c r="F847" s="22" t="s">
        <v>53</v>
      </c>
      <c r="G847" s="25" t="s">
        <v>125</v>
      </c>
    </row>
    <row r="848" spans="1:7">
      <c r="A848" s="21" t="s">
        <v>973</v>
      </c>
      <c r="B848" s="22" t="s">
        <v>56</v>
      </c>
      <c r="C848" s="22" t="s">
        <v>124</v>
      </c>
      <c r="D848" s="23">
        <v>2</v>
      </c>
      <c r="E848" s="24">
        <f>SUM($D$2:D848)/SUM($D$2:$D$2846)</f>
        <v>0.82667799490229399</v>
      </c>
      <c r="F848" s="22" t="s">
        <v>53</v>
      </c>
      <c r="G848" s="25" t="s">
        <v>125</v>
      </c>
    </row>
    <row r="849" spans="1:7">
      <c r="A849" s="21" t="s">
        <v>974</v>
      </c>
      <c r="B849" s="22" t="s">
        <v>56</v>
      </c>
      <c r="C849" s="22" t="s">
        <v>124</v>
      </c>
      <c r="D849" s="23">
        <v>2</v>
      </c>
      <c r="E849" s="24">
        <f>SUM($D$2:D849)/SUM($D$2:$D$2846)</f>
        <v>0.82684791843670347</v>
      </c>
      <c r="F849" s="22" t="s">
        <v>53</v>
      </c>
      <c r="G849" s="25" t="s">
        <v>125</v>
      </c>
    </row>
    <row r="850" spans="1:7">
      <c r="A850" s="21" t="s">
        <v>975</v>
      </c>
      <c r="B850" s="22" t="s">
        <v>56</v>
      </c>
      <c r="C850" s="22" t="s">
        <v>124</v>
      </c>
      <c r="D850" s="23">
        <v>2</v>
      </c>
      <c r="E850" s="24">
        <f>SUM($D$2:D850)/SUM($D$2:$D$2846)</f>
        <v>0.82701784197111305</v>
      </c>
      <c r="F850" s="22" t="s">
        <v>53</v>
      </c>
      <c r="G850" s="25" t="s">
        <v>125</v>
      </c>
    </row>
    <row r="851" spans="1:7">
      <c r="A851" s="21" t="s">
        <v>976</v>
      </c>
      <c r="B851" s="22" t="s">
        <v>56</v>
      </c>
      <c r="C851" s="22" t="s">
        <v>124</v>
      </c>
      <c r="D851" s="23">
        <v>2</v>
      </c>
      <c r="E851" s="24">
        <f>SUM($D$2:D851)/SUM($D$2:$D$2846)</f>
        <v>0.82718776550552253</v>
      </c>
      <c r="F851" s="22" t="s">
        <v>53</v>
      </c>
      <c r="G851" s="25" t="s">
        <v>125</v>
      </c>
    </row>
    <row r="852" spans="1:7">
      <c r="A852" s="21" t="s">
        <v>977</v>
      </c>
      <c r="B852" s="26" t="s">
        <v>163</v>
      </c>
      <c r="C852" s="22" t="s">
        <v>45</v>
      </c>
      <c r="D852" s="23">
        <v>2</v>
      </c>
      <c r="E852" s="24">
        <f>SUM($D$2:D852)/SUM($D$2:$D$2846)</f>
        <v>0.82735768903993201</v>
      </c>
      <c r="F852" s="22" t="s">
        <v>53</v>
      </c>
      <c r="G852" s="25" t="s">
        <v>164</v>
      </c>
    </row>
    <row r="853" spans="1:7">
      <c r="A853" s="21" t="s">
        <v>978</v>
      </c>
      <c r="B853" s="26" t="s">
        <v>163</v>
      </c>
      <c r="C853" s="22" t="s">
        <v>45</v>
      </c>
      <c r="D853" s="23">
        <v>2</v>
      </c>
      <c r="E853" s="24">
        <f>SUM($D$2:D853)/SUM($D$2:$D$2846)</f>
        <v>0.8275276125743416</v>
      </c>
      <c r="F853" s="22" t="s">
        <v>53</v>
      </c>
      <c r="G853" s="25" t="s">
        <v>164</v>
      </c>
    </row>
    <row r="854" spans="1:7">
      <c r="A854" s="21" t="s">
        <v>979</v>
      </c>
      <c r="B854" s="22" t="s">
        <v>56</v>
      </c>
      <c r="C854" s="22" t="s">
        <v>124</v>
      </c>
      <c r="D854" s="23">
        <v>2</v>
      </c>
      <c r="E854" s="24">
        <f>SUM($D$2:D854)/SUM($D$2:$D$2846)</f>
        <v>0.82769753610875108</v>
      </c>
      <c r="F854" s="22" t="s">
        <v>53</v>
      </c>
      <c r="G854" s="25" t="s">
        <v>125</v>
      </c>
    </row>
    <row r="855" spans="1:7">
      <c r="A855" s="21" t="s">
        <v>980</v>
      </c>
      <c r="B855" s="22" t="s">
        <v>56</v>
      </c>
      <c r="C855" s="22" t="s">
        <v>124</v>
      </c>
      <c r="D855" s="23">
        <v>2</v>
      </c>
      <c r="E855" s="24">
        <f>SUM($D$2:D855)/SUM($D$2:$D$2846)</f>
        <v>0.82786745964316055</v>
      </c>
      <c r="F855" s="22" t="s">
        <v>53</v>
      </c>
      <c r="G855" s="25" t="s">
        <v>125</v>
      </c>
    </row>
    <row r="856" spans="1:7">
      <c r="A856" s="21" t="s">
        <v>981</v>
      </c>
      <c r="B856" s="22" t="s">
        <v>56</v>
      </c>
      <c r="C856" s="22" t="s">
        <v>124</v>
      </c>
      <c r="D856" s="23">
        <v>2</v>
      </c>
      <c r="E856" s="24">
        <f>SUM($D$2:D856)/SUM($D$2:$D$2846)</f>
        <v>0.82803738317757014</v>
      </c>
      <c r="F856" s="22" t="s">
        <v>53</v>
      </c>
      <c r="G856" s="25" t="s">
        <v>125</v>
      </c>
    </row>
    <row r="857" spans="1:7">
      <c r="A857" s="21" t="s">
        <v>982</v>
      </c>
      <c r="B857" s="26" t="s">
        <v>163</v>
      </c>
      <c r="C857" s="22" t="s">
        <v>45</v>
      </c>
      <c r="D857" s="23">
        <v>2</v>
      </c>
      <c r="E857" s="24">
        <f>SUM($D$2:D857)/SUM($D$2:$D$2846)</f>
        <v>0.82820730671197962</v>
      </c>
      <c r="F857" s="22" t="s">
        <v>53</v>
      </c>
      <c r="G857" s="25" t="s">
        <v>164</v>
      </c>
    </row>
    <row r="858" spans="1:7">
      <c r="A858" s="21" t="s">
        <v>983</v>
      </c>
      <c r="B858" s="26" t="s">
        <v>163</v>
      </c>
      <c r="C858" s="22" t="s">
        <v>45</v>
      </c>
      <c r="D858" s="23">
        <v>2</v>
      </c>
      <c r="E858" s="24">
        <f>SUM($D$2:D858)/SUM($D$2:$D$2846)</f>
        <v>0.8283772302463891</v>
      </c>
      <c r="F858" s="22" t="s">
        <v>53</v>
      </c>
      <c r="G858" s="25" t="s">
        <v>164</v>
      </c>
    </row>
    <row r="859" spans="1:7">
      <c r="A859" s="21" t="s">
        <v>984</v>
      </c>
      <c r="B859" s="22" t="s">
        <v>56</v>
      </c>
      <c r="C859" s="22" t="s">
        <v>124</v>
      </c>
      <c r="D859" s="23">
        <v>2</v>
      </c>
      <c r="E859" s="24">
        <f>SUM($D$2:D859)/SUM($D$2:$D$2846)</f>
        <v>0.82854715378079868</v>
      </c>
      <c r="F859" s="22" t="s">
        <v>53</v>
      </c>
      <c r="G859" s="25" t="s">
        <v>125</v>
      </c>
    </row>
    <row r="860" spans="1:7">
      <c r="A860" s="21" t="s">
        <v>985</v>
      </c>
      <c r="B860" s="22" t="s">
        <v>56</v>
      </c>
      <c r="C860" s="22" t="s">
        <v>124</v>
      </c>
      <c r="D860" s="23">
        <v>2</v>
      </c>
      <c r="E860" s="24">
        <f>SUM($D$2:D860)/SUM($D$2:$D$2846)</f>
        <v>0.82871707731520816</v>
      </c>
      <c r="F860" s="22" t="s">
        <v>53</v>
      </c>
      <c r="G860" s="25" t="s">
        <v>125</v>
      </c>
    </row>
    <row r="861" spans="1:7">
      <c r="A861" s="21" t="s">
        <v>986</v>
      </c>
      <c r="B861" s="26" t="s">
        <v>163</v>
      </c>
      <c r="C861" s="22" t="s">
        <v>45</v>
      </c>
      <c r="D861" s="23">
        <v>2</v>
      </c>
      <c r="E861" s="24">
        <f>SUM($D$2:D861)/SUM($D$2:$D$2846)</f>
        <v>0.82888700084961764</v>
      </c>
      <c r="F861" s="22" t="s">
        <v>53</v>
      </c>
      <c r="G861" s="25" t="s">
        <v>164</v>
      </c>
    </row>
    <row r="862" spans="1:7">
      <c r="A862" s="21" t="s">
        <v>65</v>
      </c>
      <c r="B862" s="26" t="s">
        <v>44</v>
      </c>
      <c r="C862" s="22" t="s">
        <v>45</v>
      </c>
      <c r="D862" s="23">
        <v>2</v>
      </c>
      <c r="E862" s="24">
        <f>SUM($D$2:D862)/SUM($D$2:$D$2846)</f>
        <v>0.82905692438402723</v>
      </c>
      <c r="F862" s="22" t="s">
        <v>53</v>
      </c>
      <c r="G862" s="25" t="s">
        <v>57</v>
      </c>
    </row>
    <row r="863" spans="1:7">
      <c r="A863" s="21" t="s">
        <v>987</v>
      </c>
      <c r="B863" s="22" t="s">
        <v>56</v>
      </c>
      <c r="C863" s="22" t="s">
        <v>124</v>
      </c>
      <c r="D863" s="23">
        <v>2</v>
      </c>
      <c r="E863" s="24">
        <f>SUM($D$2:D863)/SUM($D$2:$D$2846)</f>
        <v>0.8292268479184367</v>
      </c>
      <c r="F863" s="22" t="s">
        <v>53</v>
      </c>
      <c r="G863" s="25" t="s">
        <v>125</v>
      </c>
    </row>
    <row r="864" spans="1:7">
      <c r="A864" s="21" t="s">
        <v>988</v>
      </c>
      <c r="B864" s="22" t="s">
        <v>56</v>
      </c>
      <c r="C864" s="22" t="s">
        <v>124</v>
      </c>
      <c r="D864" s="23">
        <v>2</v>
      </c>
      <c r="E864" s="24">
        <f>SUM($D$2:D864)/SUM($D$2:$D$2846)</f>
        <v>0.82939677145284618</v>
      </c>
      <c r="F864" s="22" t="s">
        <v>53</v>
      </c>
      <c r="G864" s="25" t="s">
        <v>125</v>
      </c>
    </row>
    <row r="865" spans="1:7">
      <c r="A865" s="21" t="s">
        <v>989</v>
      </c>
      <c r="B865" s="22" t="s">
        <v>56</v>
      </c>
      <c r="C865" s="22" t="s">
        <v>124</v>
      </c>
      <c r="D865" s="23">
        <v>2</v>
      </c>
      <c r="E865" s="24">
        <f>SUM($D$2:D865)/SUM($D$2:$D$2846)</f>
        <v>0.82956669498725577</v>
      </c>
      <c r="F865" s="22" t="s">
        <v>53</v>
      </c>
      <c r="G865" s="25" t="s">
        <v>125</v>
      </c>
    </row>
    <row r="866" spans="1:7">
      <c r="A866" s="21" t="s">
        <v>990</v>
      </c>
      <c r="B866" s="22" t="s">
        <v>56</v>
      </c>
      <c r="C866" s="22" t="s">
        <v>124</v>
      </c>
      <c r="D866" s="23">
        <v>2</v>
      </c>
      <c r="E866" s="24">
        <f>SUM($D$2:D866)/SUM($D$2:$D$2846)</f>
        <v>0.82973661852166525</v>
      </c>
      <c r="F866" s="22" t="s">
        <v>53</v>
      </c>
      <c r="G866" s="25" t="s">
        <v>125</v>
      </c>
    </row>
    <row r="867" spans="1:7">
      <c r="A867" s="21" t="s">
        <v>991</v>
      </c>
      <c r="B867" s="22" t="s">
        <v>56</v>
      </c>
      <c r="C867" s="22" t="s">
        <v>124</v>
      </c>
      <c r="D867" s="23">
        <v>2</v>
      </c>
      <c r="E867" s="24">
        <f>SUM($D$2:D867)/SUM($D$2:$D$2846)</f>
        <v>0.82990654205607473</v>
      </c>
      <c r="F867" s="22" t="s">
        <v>53</v>
      </c>
      <c r="G867" s="25" t="s">
        <v>125</v>
      </c>
    </row>
    <row r="868" spans="1:7">
      <c r="A868" s="21" t="s">
        <v>992</v>
      </c>
      <c r="B868" s="22" t="s">
        <v>56</v>
      </c>
      <c r="C868" s="22" t="s">
        <v>124</v>
      </c>
      <c r="D868" s="23">
        <v>2</v>
      </c>
      <c r="E868" s="24">
        <f>SUM($D$2:D868)/SUM($D$2:$D$2846)</f>
        <v>0.83007646559048431</v>
      </c>
      <c r="F868" s="22" t="s">
        <v>53</v>
      </c>
      <c r="G868" s="25" t="s">
        <v>125</v>
      </c>
    </row>
    <row r="869" spans="1:7">
      <c r="A869" s="21" t="s">
        <v>993</v>
      </c>
      <c r="B869" s="22" t="s">
        <v>56</v>
      </c>
      <c r="C869" s="22" t="s">
        <v>124</v>
      </c>
      <c r="D869" s="23">
        <v>2</v>
      </c>
      <c r="E869" s="24">
        <f>SUM($D$2:D869)/SUM($D$2:$D$2846)</f>
        <v>0.83024638912489379</v>
      </c>
      <c r="F869" s="22" t="s">
        <v>53</v>
      </c>
      <c r="G869" s="25" t="s">
        <v>125</v>
      </c>
    </row>
    <row r="870" spans="1:7">
      <c r="A870" s="21" t="s">
        <v>994</v>
      </c>
      <c r="B870" s="22" t="s">
        <v>56</v>
      </c>
      <c r="C870" s="22" t="s">
        <v>124</v>
      </c>
      <c r="D870" s="23">
        <v>2</v>
      </c>
      <c r="E870" s="24">
        <f>SUM($D$2:D870)/SUM($D$2:$D$2846)</f>
        <v>0.83041631265930327</v>
      </c>
      <c r="F870" s="22" t="s">
        <v>53</v>
      </c>
      <c r="G870" s="25" t="s">
        <v>125</v>
      </c>
    </row>
    <row r="871" spans="1:7">
      <c r="A871" s="21" t="s">
        <v>995</v>
      </c>
      <c r="B871" s="22" t="s">
        <v>56</v>
      </c>
      <c r="C871" s="22" t="s">
        <v>124</v>
      </c>
      <c r="D871" s="23">
        <v>2</v>
      </c>
      <c r="E871" s="24">
        <f>SUM($D$2:D871)/SUM($D$2:$D$2846)</f>
        <v>0.83058623619371286</v>
      </c>
      <c r="F871" s="22" t="s">
        <v>53</v>
      </c>
      <c r="G871" s="25" t="s">
        <v>125</v>
      </c>
    </row>
    <row r="872" spans="1:7">
      <c r="A872" s="21" t="s">
        <v>996</v>
      </c>
      <c r="B872" s="22" t="s">
        <v>56</v>
      </c>
      <c r="C872" s="22" t="s">
        <v>124</v>
      </c>
      <c r="D872" s="23">
        <v>2</v>
      </c>
      <c r="E872" s="24">
        <f>SUM($D$2:D872)/SUM($D$2:$D$2846)</f>
        <v>0.83075615972812233</v>
      </c>
      <c r="F872" s="22" t="s">
        <v>53</v>
      </c>
      <c r="G872" s="25" t="s">
        <v>125</v>
      </c>
    </row>
    <row r="873" spans="1:7">
      <c r="A873" s="21" t="s">
        <v>997</v>
      </c>
      <c r="B873" s="26" t="s">
        <v>163</v>
      </c>
      <c r="C873" s="22" t="s">
        <v>45</v>
      </c>
      <c r="D873" s="23">
        <v>2</v>
      </c>
      <c r="E873" s="24">
        <f>SUM($D$2:D873)/SUM($D$2:$D$2846)</f>
        <v>0.83092608326253181</v>
      </c>
      <c r="F873" s="22" t="s">
        <v>53</v>
      </c>
      <c r="G873" s="25" t="s">
        <v>164</v>
      </c>
    </row>
    <row r="874" spans="1:7">
      <c r="A874" s="21" t="s">
        <v>998</v>
      </c>
      <c r="B874" s="22" t="s">
        <v>56</v>
      </c>
      <c r="C874" s="22" t="s">
        <v>124</v>
      </c>
      <c r="D874" s="23">
        <v>2</v>
      </c>
      <c r="E874" s="24">
        <f>SUM($D$2:D874)/SUM($D$2:$D$2846)</f>
        <v>0.8310960067969414</v>
      </c>
      <c r="F874" s="22" t="s">
        <v>53</v>
      </c>
      <c r="G874" s="25" t="s">
        <v>125</v>
      </c>
    </row>
    <row r="875" spans="1:7">
      <c r="A875" s="21" t="s">
        <v>999</v>
      </c>
      <c r="B875" s="26" t="s">
        <v>163</v>
      </c>
      <c r="C875" s="22" t="s">
        <v>45</v>
      </c>
      <c r="D875" s="23">
        <v>2</v>
      </c>
      <c r="E875" s="24">
        <f>SUM($D$2:D875)/SUM($D$2:$D$2846)</f>
        <v>0.83126593033135088</v>
      </c>
      <c r="F875" s="22" t="s">
        <v>53</v>
      </c>
      <c r="G875" s="25" t="s">
        <v>164</v>
      </c>
    </row>
    <row r="876" spans="1:7">
      <c r="A876" s="21" t="s">
        <v>1000</v>
      </c>
      <c r="B876" s="22" t="s">
        <v>56</v>
      </c>
      <c r="C876" s="22" t="s">
        <v>124</v>
      </c>
      <c r="D876" s="23">
        <v>2</v>
      </c>
      <c r="E876" s="24">
        <f>SUM($D$2:D876)/SUM($D$2:$D$2846)</f>
        <v>0.83143585386576035</v>
      </c>
      <c r="F876" s="22" t="s">
        <v>53</v>
      </c>
      <c r="G876" s="25" t="s">
        <v>125</v>
      </c>
    </row>
    <row r="877" spans="1:7">
      <c r="A877" s="21" t="s">
        <v>1001</v>
      </c>
      <c r="B877" s="22" t="s">
        <v>56</v>
      </c>
      <c r="C877" s="22" t="s">
        <v>124</v>
      </c>
      <c r="D877" s="23">
        <v>2</v>
      </c>
      <c r="E877" s="24">
        <f>SUM($D$2:D877)/SUM($D$2:$D$2846)</f>
        <v>0.83160577740016994</v>
      </c>
      <c r="F877" s="22" t="s">
        <v>53</v>
      </c>
      <c r="G877" s="25" t="s">
        <v>125</v>
      </c>
    </row>
    <row r="878" spans="1:7">
      <c r="A878" s="21" t="s">
        <v>1002</v>
      </c>
      <c r="B878" s="22" t="s">
        <v>56</v>
      </c>
      <c r="C878" s="22" t="s">
        <v>124</v>
      </c>
      <c r="D878" s="23">
        <v>2</v>
      </c>
      <c r="E878" s="24">
        <f>SUM($D$2:D878)/SUM($D$2:$D$2846)</f>
        <v>0.83177570093457942</v>
      </c>
      <c r="F878" s="22" t="s">
        <v>53</v>
      </c>
      <c r="G878" s="25" t="s">
        <v>125</v>
      </c>
    </row>
    <row r="879" spans="1:7">
      <c r="A879" s="21" t="s">
        <v>1003</v>
      </c>
      <c r="B879" s="22" t="s">
        <v>56</v>
      </c>
      <c r="C879" s="22" t="s">
        <v>124</v>
      </c>
      <c r="D879" s="23">
        <v>2</v>
      </c>
      <c r="E879" s="24">
        <f>SUM($D$2:D879)/SUM($D$2:$D$2846)</f>
        <v>0.83194562446898901</v>
      </c>
      <c r="F879" s="22" t="s">
        <v>53</v>
      </c>
      <c r="G879" s="25" t="s">
        <v>125</v>
      </c>
    </row>
    <row r="880" spans="1:7">
      <c r="A880" s="21" t="s">
        <v>1004</v>
      </c>
      <c r="B880" s="26" t="s">
        <v>163</v>
      </c>
      <c r="C880" s="22" t="s">
        <v>45</v>
      </c>
      <c r="D880" s="23">
        <v>2</v>
      </c>
      <c r="E880" s="24">
        <f>SUM($D$2:D880)/SUM($D$2:$D$2846)</f>
        <v>0.83211554800339849</v>
      </c>
      <c r="F880" s="22" t="s">
        <v>53</v>
      </c>
      <c r="G880" s="25" t="s">
        <v>164</v>
      </c>
    </row>
    <row r="881" spans="1:7">
      <c r="A881" s="21" t="s">
        <v>1005</v>
      </c>
      <c r="B881" s="22" t="s">
        <v>56</v>
      </c>
      <c r="C881" s="22" t="s">
        <v>124</v>
      </c>
      <c r="D881" s="23">
        <v>2</v>
      </c>
      <c r="E881" s="24">
        <f>SUM($D$2:D881)/SUM($D$2:$D$2846)</f>
        <v>0.83228547153780796</v>
      </c>
      <c r="F881" s="22" t="s">
        <v>53</v>
      </c>
      <c r="G881" s="25" t="s">
        <v>125</v>
      </c>
    </row>
    <row r="882" spans="1:7">
      <c r="A882" s="21" t="s">
        <v>1006</v>
      </c>
      <c r="B882" s="22" t="s">
        <v>56</v>
      </c>
      <c r="C882" s="22" t="s">
        <v>124</v>
      </c>
      <c r="D882" s="23">
        <v>2</v>
      </c>
      <c r="E882" s="24">
        <f>SUM($D$2:D882)/SUM($D$2:$D$2846)</f>
        <v>0.83245539507221755</v>
      </c>
      <c r="F882" s="22" t="s">
        <v>53</v>
      </c>
      <c r="G882" s="25" t="s">
        <v>125</v>
      </c>
    </row>
    <row r="883" spans="1:7">
      <c r="A883" s="21" t="s">
        <v>1007</v>
      </c>
      <c r="B883" s="26" t="s">
        <v>163</v>
      </c>
      <c r="C883" s="22" t="s">
        <v>45</v>
      </c>
      <c r="D883" s="23">
        <v>2</v>
      </c>
      <c r="E883" s="24">
        <f>SUM($D$2:D883)/SUM($D$2:$D$2846)</f>
        <v>0.83262531860662703</v>
      </c>
      <c r="F883" s="22" t="s">
        <v>53</v>
      </c>
      <c r="G883" s="25" t="s">
        <v>164</v>
      </c>
    </row>
    <row r="884" spans="1:7">
      <c r="A884" s="21" t="s">
        <v>1008</v>
      </c>
      <c r="B884" s="22" t="s">
        <v>56</v>
      </c>
      <c r="C884" s="22" t="s">
        <v>124</v>
      </c>
      <c r="D884" s="23">
        <v>2</v>
      </c>
      <c r="E884" s="24">
        <f>SUM($D$2:D884)/SUM($D$2:$D$2846)</f>
        <v>0.83279524214103651</v>
      </c>
      <c r="F884" s="22" t="s">
        <v>53</v>
      </c>
      <c r="G884" s="25" t="s">
        <v>125</v>
      </c>
    </row>
    <row r="885" spans="1:7">
      <c r="A885" s="21" t="s">
        <v>1009</v>
      </c>
      <c r="B885" s="22" t="s">
        <v>56</v>
      </c>
      <c r="C885" s="22" t="s">
        <v>124</v>
      </c>
      <c r="D885" s="23">
        <v>2</v>
      </c>
      <c r="E885" s="24">
        <f>SUM($D$2:D885)/SUM($D$2:$D$2846)</f>
        <v>0.8329651656754461</v>
      </c>
      <c r="F885" s="22" t="s">
        <v>53</v>
      </c>
      <c r="G885" s="25" t="s">
        <v>125</v>
      </c>
    </row>
    <row r="886" spans="1:7">
      <c r="A886" s="21" t="s">
        <v>1010</v>
      </c>
      <c r="B886" s="22" t="s">
        <v>56</v>
      </c>
      <c r="C886" s="22" t="s">
        <v>124</v>
      </c>
      <c r="D886" s="23">
        <v>2</v>
      </c>
      <c r="E886" s="24">
        <f>SUM($D$2:D886)/SUM($D$2:$D$2846)</f>
        <v>0.83313508920985557</v>
      </c>
      <c r="F886" s="22" t="s">
        <v>53</v>
      </c>
      <c r="G886" s="25" t="s">
        <v>125</v>
      </c>
    </row>
    <row r="887" spans="1:7">
      <c r="A887" s="21" t="s">
        <v>1011</v>
      </c>
      <c r="B887" s="22" t="s">
        <v>56</v>
      </c>
      <c r="C887" s="22" t="s">
        <v>124</v>
      </c>
      <c r="D887" s="23">
        <v>2</v>
      </c>
      <c r="E887" s="24">
        <f>SUM($D$2:D887)/SUM($D$2:$D$2846)</f>
        <v>0.83330501274426505</v>
      </c>
      <c r="F887" s="22" t="s">
        <v>53</v>
      </c>
      <c r="G887" s="25" t="s">
        <v>125</v>
      </c>
    </row>
    <row r="888" spans="1:7">
      <c r="A888" s="21" t="s">
        <v>1012</v>
      </c>
      <c r="B888" s="26" t="s">
        <v>163</v>
      </c>
      <c r="C888" s="22" t="s">
        <v>45</v>
      </c>
      <c r="D888" s="23">
        <v>2</v>
      </c>
      <c r="E888" s="24">
        <f>SUM($D$2:D888)/SUM($D$2:$D$2846)</f>
        <v>0.83347493627867464</v>
      </c>
      <c r="F888" s="22" t="s">
        <v>53</v>
      </c>
      <c r="G888" s="25" t="s">
        <v>164</v>
      </c>
    </row>
    <row r="889" spans="1:7">
      <c r="A889" s="21" t="s">
        <v>1013</v>
      </c>
      <c r="B889" s="26" t="s">
        <v>163</v>
      </c>
      <c r="C889" s="22" t="s">
        <v>45</v>
      </c>
      <c r="D889" s="23">
        <v>2</v>
      </c>
      <c r="E889" s="24">
        <f>SUM($D$2:D889)/SUM($D$2:$D$2846)</f>
        <v>0.83364485981308412</v>
      </c>
      <c r="F889" s="22" t="s">
        <v>53</v>
      </c>
      <c r="G889" s="25" t="s">
        <v>164</v>
      </c>
    </row>
    <row r="890" spans="1:7">
      <c r="A890" s="21" t="s">
        <v>1014</v>
      </c>
      <c r="B890" s="22" t="s">
        <v>56</v>
      </c>
      <c r="C890" s="22" t="s">
        <v>124</v>
      </c>
      <c r="D890" s="23">
        <v>2</v>
      </c>
      <c r="E890" s="24">
        <f>SUM($D$2:D890)/SUM($D$2:$D$2846)</f>
        <v>0.83381478334749359</v>
      </c>
      <c r="F890" s="22" t="s">
        <v>53</v>
      </c>
      <c r="G890" s="25" t="s">
        <v>125</v>
      </c>
    </row>
    <row r="891" spans="1:7">
      <c r="A891" s="21" t="s">
        <v>1015</v>
      </c>
      <c r="B891" s="22" t="s">
        <v>56</v>
      </c>
      <c r="C891" s="22" t="s">
        <v>124</v>
      </c>
      <c r="D891" s="23">
        <v>1</v>
      </c>
      <c r="E891" s="24">
        <f>SUM($D$2:D891)/SUM($D$2:$D$2846)</f>
        <v>0.83389974511469833</v>
      </c>
      <c r="F891" s="22" t="s">
        <v>46</v>
      </c>
      <c r="G891" s="25" t="s">
        <v>125</v>
      </c>
    </row>
    <row r="892" spans="1:7">
      <c r="A892" s="21" t="s">
        <v>1016</v>
      </c>
      <c r="B892" s="22" t="s">
        <v>56</v>
      </c>
      <c r="C892" s="22" t="s">
        <v>124</v>
      </c>
      <c r="D892" s="23">
        <v>1</v>
      </c>
      <c r="E892" s="24">
        <f>SUM($D$2:D892)/SUM($D$2:$D$2846)</f>
        <v>0.83398470688190318</v>
      </c>
      <c r="F892" s="22" t="s">
        <v>46</v>
      </c>
      <c r="G892" s="25" t="s">
        <v>125</v>
      </c>
    </row>
    <row r="893" spans="1:7">
      <c r="A893" s="21" t="s">
        <v>1017</v>
      </c>
      <c r="B893" s="22" t="s">
        <v>56</v>
      </c>
      <c r="C893" s="22" t="s">
        <v>124</v>
      </c>
      <c r="D893" s="23">
        <v>1</v>
      </c>
      <c r="E893" s="24">
        <f>SUM($D$2:D893)/SUM($D$2:$D$2846)</f>
        <v>0.83406966864910792</v>
      </c>
      <c r="F893" s="22" t="s">
        <v>46</v>
      </c>
      <c r="G893" s="25" t="s">
        <v>125</v>
      </c>
    </row>
    <row r="894" spans="1:7">
      <c r="A894" s="21" t="s">
        <v>1018</v>
      </c>
      <c r="B894" s="22" t="s">
        <v>56</v>
      </c>
      <c r="C894" s="22" t="s">
        <v>124</v>
      </c>
      <c r="D894" s="23">
        <v>1</v>
      </c>
      <c r="E894" s="24">
        <f>SUM($D$2:D894)/SUM($D$2:$D$2846)</f>
        <v>0.83415463041631266</v>
      </c>
      <c r="F894" s="22" t="s">
        <v>46</v>
      </c>
      <c r="G894" s="25" t="s">
        <v>125</v>
      </c>
    </row>
    <row r="895" spans="1:7">
      <c r="A895" s="21" t="s">
        <v>1019</v>
      </c>
      <c r="B895" s="22" t="s">
        <v>56</v>
      </c>
      <c r="C895" s="22" t="s">
        <v>124</v>
      </c>
      <c r="D895" s="23">
        <v>1</v>
      </c>
      <c r="E895" s="24">
        <f>SUM($D$2:D895)/SUM($D$2:$D$2846)</f>
        <v>0.8342395921835174</v>
      </c>
      <c r="F895" s="22" t="s">
        <v>46</v>
      </c>
      <c r="G895" s="25" t="s">
        <v>125</v>
      </c>
    </row>
    <row r="896" spans="1:7">
      <c r="A896" s="21" t="s">
        <v>1020</v>
      </c>
      <c r="B896" s="22" t="s">
        <v>56</v>
      </c>
      <c r="C896" s="22" t="s">
        <v>124</v>
      </c>
      <c r="D896" s="23">
        <v>1</v>
      </c>
      <c r="E896" s="24">
        <f>SUM($D$2:D896)/SUM($D$2:$D$2846)</f>
        <v>0.83432455395072214</v>
      </c>
      <c r="F896" s="22" t="s">
        <v>46</v>
      </c>
      <c r="G896" s="25" t="s">
        <v>125</v>
      </c>
    </row>
    <row r="897" spans="1:7">
      <c r="A897" s="21" t="s">
        <v>1021</v>
      </c>
      <c r="B897" s="26" t="s">
        <v>163</v>
      </c>
      <c r="C897" s="22" t="s">
        <v>45</v>
      </c>
      <c r="D897" s="23">
        <v>1</v>
      </c>
      <c r="E897" s="24">
        <f>SUM($D$2:D897)/SUM($D$2:$D$2846)</f>
        <v>0.83440951571792699</v>
      </c>
      <c r="F897" s="22" t="s">
        <v>46</v>
      </c>
      <c r="G897" s="25" t="s">
        <v>164</v>
      </c>
    </row>
    <row r="898" spans="1:7">
      <c r="A898" s="21" t="s">
        <v>66</v>
      </c>
      <c r="B898" s="26" t="s">
        <v>56</v>
      </c>
      <c r="C898" s="22" t="s">
        <v>45</v>
      </c>
      <c r="D898" s="23">
        <v>1</v>
      </c>
      <c r="E898" s="24">
        <f>SUM($D$2:D898)/SUM($D$2:$D$2846)</f>
        <v>0.83449447748513172</v>
      </c>
      <c r="F898" s="22" t="s">
        <v>46</v>
      </c>
      <c r="G898" s="25" t="s">
        <v>57</v>
      </c>
    </row>
    <row r="899" spans="1:7">
      <c r="A899" s="21" t="s">
        <v>1022</v>
      </c>
      <c r="B899" s="22" t="s">
        <v>56</v>
      </c>
      <c r="C899" s="22" t="s">
        <v>124</v>
      </c>
      <c r="D899" s="23">
        <v>1</v>
      </c>
      <c r="E899" s="24">
        <f>SUM($D$2:D899)/SUM($D$2:$D$2846)</f>
        <v>0.83457943925233646</v>
      </c>
      <c r="F899" s="22" t="s">
        <v>46</v>
      </c>
      <c r="G899" s="25" t="s">
        <v>125</v>
      </c>
    </row>
    <row r="900" spans="1:7">
      <c r="A900" s="21" t="s">
        <v>1023</v>
      </c>
      <c r="B900" s="22" t="s">
        <v>56</v>
      </c>
      <c r="C900" s="22" t="s">
        <v>124</v>
      </c>
      <c r="D900" s="23">
        <v>1</v>
      </c>
      <c r="E900" s="24">
        <f>SUM($D$2:D900)/SUM($D$2:$D$2846)</f>
        <v>0.8346644010195412</v>
      </c>
      <c r="F900" s="22" t="s">
        <v>46</v>
      </c>
      <c r="G900" s="25" t="s">
        <v>125</v>
      </c>
    </row>
    <row r="901" spans="1:7">
      <c r="A901" s="21" t="s">
        <v>1024</v>
      </c>
      <c r="B901" s="22" t="s">
        <v>56</v>
      </c>
      <c r="C901" s="22" t="s">
        <v>124</v>
      </c>
      <c r="D901" s="23">
        <v>1</v>
      </c>
      <c r="E901" s="24">
        <f>SUM($D$2:D901)/SUM($D$2:$D$2846)</f>
        <v>0.83474936278674594</v>
      </c>
      <c r="F901" s="22" t="s">
        <v>46</v>
      </c>
      <c r="G901" s="25" t="s">
        <v>125</v>
      </c>
    </row>
    <row r="902" spans="1:7">
      <c r="A902" s="21" t="s">
        <v>1025</v>
      </c>
      <c r="B902" s="22" t="s">
        <v>56</v>
      </c>
      <c r="C902" s="22" t="s">
        <v>124</v>
      </c>
      <c r="D902" s="23">
        <v>1</v>
      </c>
      <c r="E902" s="24">
        <f>SUM($D$2:D902)/SUM($D$2:$D$2846)</f>
        <v>0.83483432455395068</v>
      </c>
      <c r="F902" s="22" t="s">
        <v>46</v>
      </c>
      <c r="G902" s="25" t="s">
        <v>125</v>
      </c>
    </row>
    <row r="903" spans="1:7">
      <c r="A903" s="21" t="s">
        <v>1026</v>
      </c>
      <c r="B903" s="22" t="s">
        <v>56</v>
      </c>
      <c r="C903" s="22" t="s">
        <v>124</v>
      </c>
      <c r="D903" s="23">
        <v>1</v>
      </c>
      <c r="E903" s="24">
        <f>SUM($D$2:D903)/SUM($D$2:$D$2846)</f>
        <v>0.83491928632115553</v>
      </c>
      <c r="F903" s="22" t="s">
        <v>46</v>
      </c>
      <c r="G903" s="25" t="s">
        <v>125</v>
      </c>
    </row>
    <row r="904" spans="1:7">
      <c r="A904" s="21" t="s">
        <v>1027</v>
      </c>
      <c r="B904" s="22" t="s">
        <v>56</v>
      </c>
      <c r="C904" s="22" t="s">
        <v>124</v>
      </c>
      <c r="D904" s="23">
        <v>1</v>
      </c>
      <c r="E904" s="24">
        <f>SUM($D$2:D904)/SUM($D$2:$D$2846)</f>
        <v>0.83500424808836027</v>
      </c>
      <c r="F904" s="22" t="s">
        <v>46</v>
      </c>
      <c r="G904" s="25" t="s">
        <v>125</v>
      </c>
    </row>
    <row r="905" spans="1:7">
      <c r="A905" s="21" t="s">
        <v>1028</v>
      </c>
      <c r="B905" s="22" t="s">
        <v>56</v>
      </c>
      <c r="C905" s="22" t="s">
        <v>124</v>
      </c>
      <c r="D905" s="23">
        <v>1</v>
      </c>
      <c r="E905" s="24">
        <f>SUM($D$2:D905)/SUM($D$2:$D$2846)</f>
        <v>0.83508920985556501</v>
      </c>
      <c r="F905" s="22" t="s">
        <v>46</v>
      </c>
      <c r="G905" s="25" t="s">
        <v>125</v>
      </c>
    </row>
    <row r="906" spans="1:7">
      <c r="A906" s="21" t="s">
        <v>1029</v>
      </c>
      <c r="B906" s="22" t="s">
        <v>56</v>
      </c>
      <c r="C906" s="22" t="s">
        <v>124</v>
      </c>
      <c r="D906" s="23">
        <v>1</v>
      </c>
      <c r="E906" s="24">
        <f>SUM($D$2:D906)/SUM($D$2:$D$2846)</f>
        <v>0.83517417162276975</v>
      </c>
      <c r="F906" s="22" t="s">
        <v>46</v>
      </c>
      <c r="G906" s="25" t="s">
        <v>125</v>
      </c>
    </row>
    <row r="907" spans="1:7">
      <c r="A907" s="21" t="s">
        <v>1030</v>
      </c>
      <c r="B907" s="22" t="s">
        <v>56</v>
      </c>
      <c r="C907" s="22" t="s">
        <v>124</v>
      </c>
      <c r="D907" s="23">
        <v>1</v>
      </c>
      <c r="E907" s="24">
        <f>SUM($D$2:D907)/SUM($D$2:$D$2846)</f>
        <v>0.83525913338997448</v>
      </c>
      <c r="F907" s="22" t="s">
        <v>46</v>
      </c>
      <c r="G907" s="25" t="s">
        <v>125</v>
      </c>
    </row>
    <row r="908" spans="1:7">
      <c r="A908" s="21" t="s">
        <v>1031</v>
      </c>
      <c r="B908" s="22" t="s">
        <v>56</v>
      </c>
      <c r="C908" s="22" t="s">
        <v>124</v>
      </c>
      <c r="D908" s="23">
        <v>1</v>
      </c>
      <c r="E908" s="24">
        <f>SUM($D$2:D908)/SUM($D$2:$D$2846)</f>
        <v>0.83534409515717922</v>
      </c>
      <c r="F908" s="22" t="s">
        <v>46</v>
      </c>
      <c r="G908" s="25" t="s">
        <v>125</v>
      </c>
    </row>
    <row r="909" spans="1:7">
      <c r="A909" s="21" t="s">
        <v>1032</v>
      </c>
      <c r="B909" s="22" t="s">
        <v>56</v>
      </c>
      <c r="C909" s="22" t="s">
        <v>124</v>
      </c>
      <c r="D909" s="23">
        <v>1</v>
      </c>
      <c r="E909" s="24">
        <f>SUM($D$2:D909)/SUM($D$2:$D$2846)</f>
        <v>0.83542905692438407</v>
      </c>
      <c r="F909" s="22" t="s">
        <v>46</v>
      </c>
      <c r="G909" s="25" t="s">
        <v>125</v>
      </c>
    </row>
    <row r="910" spans="1:7">
      <c r="A910" s="21" t="s">
        <v>1033</v>
      </c>
      <c r="B910" s="22" t="s">
        <v>56</v>
      </c>
      <c r="C910" s="22" t="s">
        <v>124</v>
      </c>
      <c r="D910" s="23">
        <v>1</v>
      </c>
      <c r="E910" s="24">
        <f>SUM($D$2:D910)/SUM($D$2:$D$2846)</f>
        <v>0.83551401869158881</v>
      </c>
      <c r="F910" s="22" t="s">
        <v>46</v>
      </c>
      <c r="G910" s="25" t="s">
        <v>125</v>
      </c>
    </row>
    <row r="911" spans="1:7">
      <c r="A911" s="21" t="s">
        <v>1034</v>
      </c>
      <c r="B911" s="22" t="s">
        <v>56</v>
      </c>
      <c r="C911" s="22" t="s">
        <v>124</v>
      </c>
      <c r="D911" s="23">
        <v>1</v>
      </c>
      <c r="E911" s="24">
        <f>SUM($D$2:D911)/SUM($D$2:$D$2846)</f>
        <v>0.83559898045879355</v>
      </c>
      <c r="F911" s="22" t="s">
        <v>46</v>
      </c>
      <c r="G911" s="25" t="s">
        <v>125</v>
      </c>
    </row>
    <row r="912" spans="1:7">
      <c r="A912" s="21" t="s">
        <v>1035</v>
      </c>
      <c r="B912" s="22" t="s">
        <v>56</v>
      </c>
      <c r="C912" s="22" t="s">
        <v>124</v>
      </c>
      <c r="D912" s="23">
        <v>1</v>
      </c>
      <c r="E912" s="24">
        <f>SUM($D$2:D912)/SUM($D$2:$D$2846)</f>
        <v>0.83568394222599829</v>
      </c>
      <c r="F912" s="22" t="s">
        <v>46</v>
      </c>
      <c r="G912" s="25" t="s">
        <v>125</v>
      </c>
    </row>
    <row r="913" spans="1:7">
      <c r="A913" s="21" t="s">
        <v>1036</v>
      </c>
      <c r="B913" s="22" t="s">
        <v>44</v>
      </c>
      <c r="C913" s="22" t="s">
        <v>124</v>
      </c>
      <c r="D913" s="23">
        <v>1</v>
      </c>
      <c r="E913" s="24">
        <f>SUM($D$2:D913)/SUM($D$2:$D$2846)</f>
        <v>0.83576890399320303</v>
      </c>
      <c r="F913" s="22" t="s">
        <v>46</v>
      </c>
      <c r="G913" s="25" t="s">
        <v>194</v>
      </c>
    </row>
    <row r="914" spans="1:7">
      <c r="A914" s="21" t="s">
        <v>1037</v>
      </c>
      <c r="B914" s="22" t="s">
        <v>56</v>
      </c>
      <c r="C914" s="22" t="s">
        <v>124</v>
      </c>
      <c r="D914" s="23">
        <v>1</v>
      </c>
      <c r="E914" s="24">
        <f>SUM($D$2:D914)/SUM($D$2:$D$2846)</f>
        <v>0.83585386576040777</v>
      </c>
      <c r="F914" s="22" t="s">
        <v>46</v>
      </c>
      <c r="G914" s="25" t="s">
        <v>125</v>
      </c>
    </row>
    <row r="915" spans="1:7">
      <c r="A915" s="21" t="s">
        <v>1038</v>
      </c>
      <c r="B915" s="22" t="s">
        <v>56</v>
      </c>
      <c r="C915" s="22" t="s">
        <v>124</v>
      </c>
      <c r="D915" s="23">
        <v>1</v>
      </c>
      <c r="E915" s="24">
        <f>SUM($D$2:D915)/SUM($D$2:$D$2846)</f>
        <v>0.83593882752761262</v>
      </c>
      <c r="F915" s="22" t="s">
        <v>46</v>
      </c>
      <c r="G915" s="25" t="s">
        <v>125</v>
      </c>
    </row>
    <row r="916" spans="1:7">
      <c r="A916" s="21" t="s">
        <v>1039</v>
      </c>
      <c r="B916" s="22" t="s">
        <v>56</v>
      </c>
      <c r="C916" s="22" t="s">
        <v>124</v>
      </c>
      <c r="D916" s="23">
        <v>1</v>
      </c>
      <c r="E916" s="24">
        <f>SUM($D$2:D916)/SUM($D$2:$D$2846)</f>
        <v>0.83602378929481735</v>
      </c>
      <c r="F916" s="22" t="s">
        <v>46</v>
      </c>
      <c r="G916" s="25" t="s">
        <v>125</v>
      </c>
    </row>
    <row r="917" spans="1:7">
      <c r="A917" s="21" t="s">
        <v>1040</v>
      </c>
      <c r="B917" s="22" t="s">
        <v>56</v>
      </c>
      <c r="C917" s="22" t="s">
        <v>124</v>
      </c>
      <c r="D917" s="23">
        <v>1</v>
      </c>
      <c r="E917" s="24">
        <f>SUM($D$2:D917)/SUM($D$2:$D$2846)</f>
        <v>0.83610875106202209</v>
      </c>
      <c r="F917" s="22" t="s">
        <v>46</v>
      </c>
      <c r="G917" s="25" t="s">
        <v>125</v>
      </c>
    </row>
    <row r="918" spans="1:7">
      <c r="A918" s="21" t="s">
        <v>1041</v>
      </c>
      <c r="B918" s="22" t="s">
        <v>56</v>
      </c>
      <c r="C918" s="22" t="s">
        <v>124</v>
      </c>
      <c r="D918" s="23">
        <v>1</v>
      </c>
      <c r="E918" s="24">
        <f>SUM($D$2:D918)/SUM($D$2:$D$2846)</f>
        <v>0.83619371282922683</v>
      </c>
      <c r="F918" s="22" t="s">
        <v>46</v>
      </c>
      <c r="G918" s="25" t="s">
        <v>125</v>
      </c>
    </row>
    <row r="919" spans="1:7">
      <c r="A919" s="21" t="s">
        <v>1042</v>
      </c>
      <c r="B919" s="22" t="s">
        <v>56</v>
      </c>
      <c r="C919" s="22" t="s">
        <v>124</v>
      </c>
      <c r="D919" s="23">
        <v>1</v>
      </c>
      <c r="E919" s="24">
        <f>SUM($D$2:D919)/SUM($D$2:$D$2846)</f>
        <v>0.83627867459643157</v>
      </c>
      <c r="F919" s="22" t="s">
        <v>46</v>
      </c>
      <c r="G919" s="25" t="s">
        <v>125</v>
      </c>
    </row>
    <row r="920" spans="1:7">
      <c r="A920" s="21" t="s">
        <v>1043</v>
      </c>
      <c r="B920" s="22" t="s">
        <v>56</v>
      </c>
      <c r="C920" s="22" t="s">
        <v>124</v>
      </c>
      <c r="D920" s="23">
        <v>1</v>
      </c>
      <c r="E920" s="24">
        <f>SUM($D$2:D920)/SUM($D$2:$D$2846)</f>
        <v>0.83636363636363631</v>
      </c>
      <c r="F920" s="22" t="s">
        <v>46</v>
      </c>
      <c r="G920" s="25" t="s">
        <v>125</v>
      </c>
    </row>
    <row r="921" spans="1:7">
      <c r="A921" s="21" t="s">
        <v>1044</v>
      </c>
      <c r="B921" s="22" t="s">
        <v>56</v>
      </c>
      <c r="C921" s="22" t="s">
        <v>124</v>
      </c>
      <c r="D921" s="23">
        <v>1</v>
      </c>
      <c r="E921" s="24">
        <f>SUM($D$2:D921)/SUM($D$2:$D$2846)</f>
        <v>0.83644859813084116</v>
      </c>
      <c r="F921" s="22" t="s">
        <v>46</v>
      </c>
      <c r="G921" s="25" t="s">
        <v>125</v>
      </c>
    </row>
    <row r="922" spans="1:7">
      <c r="A922" s="21" t="s">
        <v>1045</v>
      </c>
      <c r="B922" s="22" t="s">
        <v>56</v>
      </c>
      <c r="C922" s="22" t="s">
        <v>124</v>
      </c>
      <c r="D922" s="23">
        <v>1</v>
      </c>
      <c r="E922" s="24">
        <f>SUM($D$2:D922)/SUM($D$2:$D$2846)</f>
        <v>0.8365335598980459</v>
      </c>
      <c r="F922" s="22" t="s">
        <v>46</v>
      </c>
      <c r="G922" s="25" t="s">
        <v>125</v>
      </c>
    </row>
    <row r="923" spans="1:7">
      <c r="A923" s="21" t="s">
        <v>1046</v>
      </c>
      <c r="B923" s="22" t="s">
        <v>56</v>
      </c>
      <c r="C923" s="22" t="s">
        <v>124</v>
      </c>
      <c r="D923" s="23">
        <v>1</v>
      </c>
      <c r="E923" s="24">
        <f>SUM($D$2:D923)/SUM($D$2:$D$2846)</f>
        <v>0.83661852166525064</v>
      </c>
      <c r="F923" s="22" t="s">
        <v>46</v>
      </c>
      <c r="G923" s="25" t="s">
        <v>125</v>
      </c>
    </row>
    <row r="924" spans="1:7">
      <c r="A924" s="21" t="s">
        <v>67</v>
      </c>
      <c r="B924" s="26" t="s">
        <v>44</v>
      </c>
      <c r="C924" s="22" t="s">
        <v>45</v>
      </c>
      <c r="D924" s="23">
        <v>1</v>
      </c>
      <c r="E924" s="24">
        <f>SUM($D$2:D924)/SUM($D$2:$D$2846)</f>
        <v>0.83670348343245537</v>
      </c>
      <c r="F924" s="22" t="s">
        <v>46</v>
      </c>
      <c r="G924" s="25" t="s">
        <v>57</v>
      </c>
    </row>
    <row r="925" spans="1:7">
      <c r="A925" s="21" t="s">
        <v>1047</v>
      </c>
      <c r="B925" s="22" t="s">
        <v>56</v>
      </c>
      <c r="C925" s="22" t="s">
        <v>124</v>
      </c>
      <c r="D925" s="23">
        <v>1</v>
      </c>
      <c r="E925" s="24">
        <f>SUM($D$2:D925)/SUM($D$2:$D$2846)</f>
        <v>0.83678844519966011</v>
      </c>
      <c r="F925" s="22" t="s">
        <v>46</v>
      </c>
      <c r="G925" s="25" t="s">
        <v>125</v>
      </c>
    </row>
    <row r="926" spans="1:7">
      <c r="A926" s="21" t="s">
        <v>1048</v>
      </c>
      <c r="B926" s="22" t="s">
        <v>56</v>
      </c>
      <c r="C926" s="22" t="s">
        <v>124</v>
      </c>
      <c r="D926" s="23">
        <v>1</v>
      </c>
      <c r="E926" s="24">
        <f>SUM($D$2:D926)/SUM($D$2:$D$2846)</f>
        <v>0.83687340696686496</v>
      </c>
      <c r="F926" s="22" t="s">
        <v>46</v>
      </c>
      <c r="G926" s="25" t="s">
        <v>125</v>
      </c>
    </row>
    <row r="927" spans="1:7">
      <c r="A927" s="21" t="s">
        <v>1049</v>
      </c>
      <c r="B927" s="22" t="s">
        <v>56</v>
      </c>
      <c r="C927" s="22" t="s">
        <v>124</v>
      </c>
      <c r="D927" s="23">
        <v>1</v>
      </c>
      <c r="E927" s="24">
        <f>SUM($D$2:D927)/SUM($D$2:$D$2846)</f>
        <v>0.8369583687340697</v>
      </c>
      <c r="F927" s="22" t="s">
        <v>46</v>
      </c>
      <c r="G927" s="25" t="s">
        <v>125</v>
      </c>
    </row>
    <row r="928" spans="1:7">
      <c r="A928" s="21" t="s">
        <v>1050</v>
      </c>
      <c r="B928" s="22" t="s">
        <v>56</v>
      </c>
      <c r="C928" s="22" t="s">
        <v>124</v>
      </c>
      <c r="D928" s="23">
        <v>1</v>
      </c>
      <c r="E928" s="24">
        <f>SUM($D$2:D928)/SUM($D$2:$D$2846)</f>
        <v>0.83704333050127444</v>
      </c>
      <c r="F928" s="22" t="s">
        <v>46</v>
      </c>
      <c r="G928" s="25" t="s">
        <v>125</v>
      </c>
    </row>
    <row r="929" spans="1:7">
      <c r="A929" s="21" t="s">
        <v>1051</v>
      </c>
      <c r="B929" s="22" t="s">
        <v>56</v>
      </c>
      <c r="C929" s="22" t="s">
        <v>124</v>
      </c>
      <c r="D929" s="23">
        <v>1</v>
      </c>
      <c r="E929" s="24">
        <f>SUM($D$2:D929)/SUM($D$2:$D$2846)</f>
        <v>0.83712829226847918</v>
      </c>
      <c r="F929" s="22" t="s">
        <v>46</v>
      </c>
      <c r="G929" s="25" t="s">
        <v>125</v>
      </c>
    </row>
    <row r="930" spans="1:7">
      <c r="A930" s="21" t="s">
        <v>1052</v>
      </c>
      <c r="B930" s="22" t="s">
        <v>56</v>
      </c>
      <c r="C930" s="22" t="s">
        <v>124</v>
      </c>
      <c r="D930" s="23">
        <v>1</v>
      </c>
      <c r="E930" s="24">
        <f>SUM($D$2:D930)/SUM($D$2:$D$2846)</f>
        <v>0.83721325403568392</v>
      </c>
      <c r="F930" s="22" t="s">
        <v>46</v>
      </c>
      <c r="G930" s="25" t="s">
        <v>125</v>
      </c>
    </row>
    <row r="931" spans="1:7">
      <c r="A931" s="21" t="s">
        <v>1053</v>
      </c>
      <c r="B931" s="22" t="s">
        <v>56</v>
      </c>
      <c r="C931" s="22" t="s">
        <v>124</v>
      </c>
      <c r="D931" s="23">
        <v>1</v>
      </c>
      <c r="E931" s="24">
        <f>SUM($D$2:D931)/SUM($D$2:$D$2846)</f>
        <v>0.83729821580288866</v>
      </c>
      <c r="F931" s="22" t="s">
        <v>46</v>
      </c>
      <c r="G931" s="25" t="s">
        <v>125</v>
      </c>
    </row>
    <row r="932" spans="1:7">
      <c r="A932" s="21" t="s">
        <v>1054</v>
      </c>
      <c r="B932" s="22" t="s">
        <v>56</v>
      </c>
      <c r="C932" s="22" t="s">
        <v>124</v>
      </c>
      <c r="D932" s="23">
        <v>1</v>
      </c>
      <c r="E932" s="24">
        <f>SUM($D$2:D932)/SUM($D$2:$D$2846)</f>
        <v>0.83738317757009351</v>
      </c>
      <c r="F932" s="22" t="s">
        <v>46</v>
      </c>
      <c r="G932" s="25" t="s">
        <v>125</v>
      </c>
    </row>
    <row r="933" spans="1:7">
      <c r="A933" s="21" t="s">
        <v>1055</v>
      </c>
      <c r="B933" s="22" t="s">
        <v>56</v>
      </c>
      <c r="C933" s="22" t="s">
        <v>124</v>
      </c>
      <c r="D933" s="23">
        <v>1</v>
      </c>
      <c r="E933" s="24">
        <f>SUM($D$2:D933)/SUM($D$2:$D$2846)</f>
        <v>0.83746813933729825</v>
      </c>
      <c r="F933" s="22" t="s">
        <v>46</v>
      </c>
      <c r="G933" s="25" t="s">
        <v>125</v>
      </c>
    </row>
    <row r="934" spans="1:7">
      <c r="A934" s="21" t="s">
        <v>1056</v>
      </c>
      <c r="B934" s="22" t="s">
        <v>56</v>
      </c>
      <c r="C934" s="22" t="s">
        <v>124</v>
      </c>
      <c r="D934" s="23">
        <v>1</v>
      </c>
      <c r="E934" s="24">
        <f>SUM($D$2:D934)/SUM($D$2:$D$2846)</f>
        <v>0.83755310110450298</v>
      </c>
      <c r="F934" s="22" t="s">
        <v>46</v>
      </c>
      <c r="G934" s="25" t="s">
        <v>125</v>
      </c>
    </row>
    <row r="935" spans="1:7">
      <c r="A935" s="21" t="s">
        <v>1057</v>
      </c>
      <c r="B935" s="22" t="s">
        <v>56</v>
      </c>
      <c r="C935" s="22" t="s">
        <v>124</v>
      </c>
      <c r="D935" s="23">
        <v>1</v>
      </c>
      <c r="E935" s="24">
        <f>SUM($D$2:D935)/SUM($D$2:$D$2846)</f>
        <v>0.83763806287170772</v>
      </c>
      <c r="F935" s="22" t="s">
        <v>46</v>
      </c>
      <c r="G935" s="25" t="s">
        <v>125</v>
      </c>
    </row>
    <row r="936" spans="1:7">
      <c r="A936" s="21" t="s">
        <v>1058</v>
      </c>
      <c r="B936" s="22" t="s">
        <v>56</v>
      </c>
      <c r="C936" s="22" t="s">
        <v>124</v>
      </c>
      <c r="D936" s="23">
        <v>1</v>
      </c>
      <c r="E936" s="24">
        <f>SUM($D$2:D936)/SUM($D$2:$D$2846)</f>
        <v>0.83772302463891246</v>
      </c>
      <c r="F936" s="22" t="s">
        <v>46</v>
      </c>
      <c r="G936" s="25" t="s">
        <v>125</v>
      </c>
    </row>
    <row r="937" spans="1:7">
      <c r="A937" s="21" t="s">
        <v>1059</v>
      </c>
      <c r="B937" s="22" t="s">
        <v>56</v>
      </c>
      <c r="C937" s="22" t="s">
        <v>124</v>
      </c>
      <c r="D937" s="23">
        <v>1</v>
      </c>
      <c r="E937" s="24">
        <f>SUM($D$2:D937)/SUM($D$2:$D$2846)</f>
        <v>0.8378079864061172</v>
      </c>
      <c r="F937" s="22" t="s">
        <v>46</v>
      </c>
      <c r="G937" s="25" t="s">
        <v>125</v>
      </c>
    </row>
    <row r="938" spans="1:7">
      <c r="A938" s="21" t="s">
        <v>1060</v>
      </c>
      <c r="B938" s="22" t="s">
        <v>56</v>
      </c>
      <c r="C938" s="22" t="s">
        <v>124</v>
      </c>
      <c r="D938" s="23">
        <v>1</v>
      </c>
      <c r="E938" s="24">
        <f>SUM($D$2:D938)/SUM($D$2:$D$2846)</f>
        <v>0.83789294817332205</v>
      </c>
      <c r="F938" s="22" t="s">
        <v>46</v>
      </c>
      <c r="G938" s="25" t="s">
        <v>125</v>
      </c>
    </row>
    <row r="939" spans="1:7">
      <c r="A939" s="21" t="s">
        <v>1061</v>
      </c>
      <c r="B939" s="22" t="s">
        <v>56</v>
      </c>
      <c r="C939" s="22" t="s">
        <v>124</v>
      </c>
      <c r="D939" s="23">
        <v>1</v>
      </c>
      <c r="E939" s="24">
        <f>SUM($D$2:D939)/SUM($D$2:$D$2846)</f>
        <v>0.83797790994052679</v>
      </c>
      <c r="F939" s="22" t="s">
        <v>46</v>
      </c>
      <c r="G939" s="25" t="s">
        <v>125</v>
      </c>
    </row>
    <row r="940" spans="1:7">
      <c r="A940" s="21" t="s">
        <v>1062</v>
      </c>
      <c r="B940" s="22" t="s">
        <v>56</v>
      </c>
      <c r="C940" s="22" t="s">
        <v>124</v>
      </c>
      <c r="D940" s="23">
        <v>1</v>
      </c>
      <c r="E940" s="24">
        <f>SUM($D$2:D940)/SUM($D$2:$D$2846)</f>
        <v>0.83806287170773153</v>
      </c>
      <c r="F940" s="22" t="s">
        <v>46</v>
      </c>
      <c r="G940" s="25" t="s">
        <v>125</v>
      </c>
    </row>
    <row r="941" spans="1:7">
      <c r="A941" s="21" t="s">
        <v>1063</v>
      </c>
      <c r="B941" s="22" t="s">
        <v>56</v>
      </c>
      <c r="C941" s="22" t="s">
        <v>124</v>
      </c>
      <c r="D941" s="23">
        <v>1</v>
      </c>
      <c r="E941" s="24">
        <f>SUM($D$2:D941)/SUM($D$2:$D$2846)</f>
        <v>0.83814783347493627</v>
      </c>
      <c r="F941" s="22" t="s">
        <v>46</v>
      </c>
      <c r="G941" s="25" t="s">
        <v>125</v>
      </c>
    </row>
    <row r="942" spans="1:7">
      <c r="A942" s="21" t="s">
        <v>1064</v>
      </c>
      <c r="B942" s="22" t="s">
        <v>56</v>
      </c>
      <c r="C942" s="22" t="s">
        <v>124</v>
      </c>
      <c r="D942" s="23">
        <v>1</v>
      </c>
      <c r="E942" s="24">
        <f>SUM($D$2:D942)/SUM($D$2:$D$2846)</f>
        <v>0.838232795242141</v>
      </c>
      <c r="F942" s="22" t="s">
        <v>46</v>
      </c>
      <c r="G942" s="25" t="s">
        <v>125</v>
      </c>
    </row>
    <row r="943" spans="1:7">
      <c r="A943" s="21" t="s">
        <v>1065</v>
      </c>
      <c r="B943" s="22" t="s">
        <v>56</v>
      </c>
      <c r="C943" s="22" t="s">
        <v>124</v>
      </c>
      <c r="D943" s="23">
        <v>1</v>
      </c>
      <c r="E943" s="24">
        <f>SUM($D$2:D943)/SUM($D$2:$D$2846)</f>
        <v>0.83831775700934574</v>
      </c>
      <c r="F943" s="22" t="s">
        <v>46</v>
      </c>
      <c r="G943" s="25" t="s">
        <v>125</v>
      </c>
    </row>
    <row r="944" spans="1:7">
      <c r="A944" s="21" t="s">
        <v>1066</v>
      </c>
      <c r="B944" s="22" t="s">
        <v>56</v>
      </c>
      <c r="C944" s="22" t="s">
        <v>124</v>
      </c>
      <c r="D944" s="23">
        <v>1</v>
      </c>
      <c r="E944" s="24">
        <f>SUM($D$2:D944)/SUM($D$2:$D$2846)</f>
        <v>0.83840271877655059</v>
      </c>
      <c r="F944" s="22" t="s">
        <v>46</v>
      </c>
      <c r="G944" s="25" t="s">
        <v>125</v>
      </c>
    </row>
    <row r="945" spans="1:7">
      <c r="A945" s="21" t="s">
        <v>1067</v>
      </c>
      <c r="B945" s="22" t="s">
        <v>56</v>
      </c>
      <c r="C945" s="22" t="s">
        <v>124</v>
      </c>
      <c r="D945" s="23">
        <v>1</v>
      </c>
      <c r="E945" s="24">
        <f>SUM($D$2:D945)/SUM($D$2:$D$2846)</f>
        <v>0.83848768054375533</v>
      </c>
      <c r="F945" s="22" t="s">
        <v>46</v>
      </c>
      <c r="G945" s="25" t="s">
        <v>125</v>
      </c>
    </row>
    <row r="946" spans="1:7">
      <c r="A946" s="21" t="s">
        <v>1068</v>
      </c>
      <c r="B946" s="22" t="s">
        <v>56</v>
      </c>
      <c r="C946" s="22" t="s">
        <v>124</v>
      </c>
      <c r="D946" s="23">
        <v>1</v>
      </c>
      <c r="E946" s="24">
        <f>SUM($D$2:D946)/SUM($D$2:$D$2846)</f>
        <v>0.83857264231096007</v>
      </c>
      <c r="F946" s="22" t="s">
        <v>46</v>
      </c>
      <c r="G946" s="25" t="s">
        <v>125</v>
      </c>
    </row>
    <row r="947" spans="1:7">
      <c r="A947" s="21" t="s">
        <v>1069</v>
      </c>
      <c r="B947" s="22" t="s">
        <v>56</v>
      </c>
      <c r="C947" s="22" t="s">
        <v>124</v>
      </c>
      <c r="D947" s="23">
        <v>1</v>
      </c>
      <c r="E947" s="24">
        <f>SUM($D$2:D947)/SUM($D$2:$D$2846)</f>
        <v>0.83865760407816481</v>
      </c>
      <c r="F947" s="22" t="s">
        <v>46</v>
      </c>
      <c r="G947" s="25" t="s">
        <v>125</v>
      </c>
    </row>
    <row r="948" spans="1:7">
      <c r="A948" s="21" t="s">
        <v>1070</v>
      </c>
      <c r="B948" s="22" t="s">
        <v>56</v>
      </c>
      <c r="C948" s="22" t="s">
        <v>124</v>
      </c>
      <c r="D948" s="23">
        <v>1</v>
      </c>
      <c r="E948" s="24">
        <f>SUM($D$2:D948)/SUM($D$2:$D$2846)</f>
        <v>0.83874256584536955</v>
      </c>
      <c r="F948" s="22" t="s">
        <v>46</v>
      </c>
      <c r="G948" s="25" t="s">
        <v>125</v>
      </c>
    </row>
    <row r="949" spans="1:7">
      <c r="A949" s="21" t="s">
        <v>1071</v>
      </c>
      <c r="B949" s="22" t="s">
        <v>56</v>
      </c>
      <c r="C949" s="22" t="s">
        <v>124</v>
      </c>
      <c r="D949" s="23">
        <v>1</v>
      </c>
      <c r="E949" s="24">
        <f>SUM($D$2:D949)/SUM($D$2:$D$2846)</f>
        <v>0.83882752761257429</v>
      </c>
      <c r="F949" s="22" t="s">
        <v>46</v>
      </c>
      <c r="G949" s="25" t="s">
        <v>125</v>
      </c>
    </row>
    <row r="950" spans="1:7">
      <c r="A950" s="21" t="s">
        <v>1072</v>
      </c>
      <c r="B950" s="22" t="s">
        <v>56</v>
      </c>
      <c r="C950" s="22" t="s">
        <v>124</v>
      </c>
      <c r="D950" s="23">
        <v>1</v>
      </c>
      <c r="E950" s="24">
        <f>SUM($D$2:D950)/SUM($D$2:$D$2846)</f>
        <v>0.83891248937977914</v>
      </c>
      <c r="F950" s="22" t="s">
        <v>46</v>
      </c>
      <c r="G950" s="25" t="s">
        <v>125</v>
      </c>
    </row>
    <row r="951" spans="1:7">
      <c r="A951" s="21" t="s">
        <v>1073</v>
      </c>
      <c r="B951" s="26" t="s">
        <v>163</v>
      </c>
      <c r="C951" s="22" t="s">
        <v>45</v>
      </c>
      <c r="D951" s="23">
        <v>1</v>
      </c>
      <c r="E951" s="24">
        <f>SUM($D$2:D951)/SUM($D$2:$D$2846)</f>
        <v>0.83899745114698387</v>
      </c>
      <c r="F951" s="22" t="s">
        <v>46</v>
      </c>
      <c r="G951" s="25" t="s">
        <v>164</v>
      </c>
    </row>
    <row r="952" spans="1:7">
      <c r="A952" s="21" t="s">
        <v>1074</v>
      </c>
      <c r="B952" s="22" t="s">
        <v>56</v>
      </c>
      <c r="C952" s="22" t="s">
        <v>124</v>
      </c>
      <c r="D952" s="23">
        <v>1</v>
      </c>
      <c r="E952" s="24">
        <f>SUM($D$2:D952)/SUM($D$2:$D$2846)</f>
        <v>0.83908241291418861</v>
      </c>
      <c r="F952" s="22" t="s">
        <v>46</v>
      </c>
      <c r="G952" s="25" t="s">
        <v>125</v>
      </c>
    </row>
    <row r="953" spans="1:7">
      <c r="A953" s="21" t="s">
        <v>1075</v>
      </c>
      <c r="B953" s="26" t="s">
        <v>163</v>
      </c>
      <c r="C953" s="22" t="s">
        <v>45</v>
      </c>
      <c r="D953" s="23">
        <v>1</v>
      </c>
      <c r="E953" s="24">
        <f>SUM($D$2:D953)/SUM($D$2:$D$2846)</f>
        <v>0.83916737468139335</v>
      </c>
      <c r="F953" s="22" t="s">
        <v>46</v>
      </c>
      <c r="G953" s="25" t="s">
        <v>164</v>
      </c>
    </row>
    <row r="954" spans="1:7">
      <c r="A954" s="21" t="s">
        <v>1076</v>
      </c>
      <c r="B954" s="22" t="s">
        <v>56</v>
      </c>
      <c r="C954" s="22" t="s">
        <v>124</v>
      </c>
      <c r="D954" s="23">
        <v>1</v>
      </c>
      <c r="E954" s="24">
        <f>SUM($D$2:D954)/SUM($D$2:$D$2846)</f>
        <v>0.83925233644859809</v>
      </c>
      <c r="F954" s="22" t="s">
        <v>46</v>
      </c>
      <c r="G954" s="25" t="s">
        <v>125</v>
      </c>
    </row>
    <row r="955" spans="1:7">
      <c r="A955" s="21" t="s">
        <v>1077</v>
      </c>
      <c r="B955" s="26" t="s">
        <v>163</v>
      </c>
      <c r="C955" s="22" t="s">
        <v>45</v>
      </c>
      <c r="D955" s="23">
        <v>1</v>
      </c>
      <c r="E955" s="24">
        <f>SUM($D$2:D955)/SUM($D$2:$D$2846)</f>
        <v>0.83933729821580294</v>
      </c>
      <c r="F955" s="22" t="s">
        <v>46</v>
      </c>
      <c r="G955" s="25" t="s">
        <v>164</v>
      </c>
    </row>
    <row r="956" spans="1:7">
      <c r="A956" s="21" t="s">
        <v>1078</v>
      </c>
      <c r="B956" s="22" t="s">
        <v>56</v>
      </c>
      <c r="C956" s="22" t="s">
        <v>124</v>
      </c>
      <c r="D956" s="23">
        <v>1</v>
      </c>
      <c r="E956" s="24">
        <f>SUM($D$2:D956)/SUM($D$2:$D$2846)</f>
        <v>0.83942225998300768</v>
      </c>
      <c r="F956" s="22" t="s">
        <v>46</v>
      </c>
      <c r="G956" s="25" t="s">
        <v>125</v>
      </c>
    </row>
    <row r="957" spans="1:7">
      <c r="A957" s="21" t="s">
        <v>1079</v>
      </c>
      <c r="B957" s="22" t="s">
        <v>56</v>
      </c>
      <c r="C957" s="22" t="s">
        <v>124</v>
      </c>
      <c r="D957" s="23">
        <v>1</v>
      </c>
      <c r="E957" s="24">
        <f>SUM($D$2:D957)/SUM($D$2:$D$2846)</f>
        <v>0.83950722175021242</v>
      </c>
      <c r="F957" s="22" t="s">
        <v>46</v>
      </c>
      <c r="G957" s="25" t="s">
        <v>125</v>
      </c>
    </row>
    <row r="958" spans="1:7">
      <c r="A958" s="21" t="s">
        <v>1080</v>
      </c>
      <c r="B958" s="22" t="s">
        <v>56</v>
      </c>
      <c r="C958" s="22" t="s">
        <v>124</v>
      </c>
      <c r="D958" s="23">
        <v>1</v>
      </c>
      <c r="E958" s="24">
        <f>SUM($D$2:D958)/SUM($D$2:$D$2846)</f>
        <v>0.83959218351741716</v>
      </c>
      <c r="F958" s="22" t="s">
        <v>46</v>
      </c>
      <c r="G958" s="25" t="s">
        <v>125</v>
      </c>
    </row>
    <row r="959" spans="1:7">
      <c r="A959" s="21" t="s">
        <v>1081</v>
      </c>
      <c r="B959" s="22" t="s">
        <v>56</v>
      </c>
      <c r="C959" s="22" t="s">
        <v>124</v>
      </c>
      <c r="D959" s="23">
        <v>1</v>
      </c>
      <c r="E959" s="24">
        <f>SUM($D$2:D959)/SUM($D$2:$D$2846)</f>
        <v>0.8396771452846219</v>
      </c>
      <c r="F959" s="22" t="s">
        <v>46</v>
      </c>
      <c r="G959" s="25" t="s">
        <v>125</v>
      </c>
    </row>
    <row r="960" spans="1:7">
      <c r="A960" s="21" t="s">
        <v>1082</v>
      </c>
      <c r="B960" s="22" t="s">
        <v>56</v>
      </c>
      <c r="C960" s="22" t="s">
        <v>124</v>
      </c>
      <c r="D960" s="23">
        <v>1</v>
      </c>
      <c r="E960" s="24">
        <f>SUM($D$2:D960)/SUM($D$2:$D$2846)</f>
        <v>0.83976210705182663</v>
      </c>
      <c r="F960" s="22" t="s">
        <v>46</v>
      </c>
      <c r="G960" s="25" t="s">
        <v>125</v>
      </c>
    </row>
    <row r="961" spans="1:7">
      <c r="A961" s="21" t="s">
        <v>1083</v>
      </c>
      <c r="B961" s="22" t="s">
        <v>56</v>
      </c>
      <c r="C961" s="22" t="s">
        <v>124</v>
      </c>
      <c r="D961" s="23">
        <v>1</v>
      </c>
      <c r="E961" s="24">
        <f>SUM($D$2:D961)/SUM($D$2:$D$2846)</f>
        <v>0.83984706881903148</v>
      </c>
      <c r="F961" s="22" t="s">
        <v>46</v>
      </c>
      <c r="G961" s="25" t="s">
        <v>125</v>
      </c>
    </row>
    <row r="962" spans="1:7">
      <c r="A962" s="21" t="s">
        <v>1084</v>
      </c>
      <c r="B962" s="22" t="s">
        <v>56</v>
      </c>
      <c r="C962" s="22" t="s">
        <v>124</v>
      </c>
      <c r="D962" s="23">
        <v>1</v>
      </c>
      <c r="E962" s="24">
        <f>SUM($D$2:D962)/SUM($D$2:$D$2846)</f>
        <v>0.83993203058623622</v>
      </c>
      <c r="F962" s="22" t="s">
        <v>46</v>
      </c>
      <c r="G962" s="25" t="s">
        <v>125</v>
      </c>
    </row>
    <row r="963" spans="1:7">
      <c r="A963" s="21" t="s">
        <v>1085</v>
      </c>
      <c r="B963" s="22" t="s">
        <v>56</v>
      </c>
      <c r="C963" s="22" t="s">
        <v>124</v>
      </c>
      <c r="D963" s="23">
        <v>1</v>
      </c>
      <c r="E963" s="24">
        <f>SUM($D$2:D963)/SUM($D$2:$D$2846)</f>
        <v>0.84001699235344096</v>
      </c>
      <c r="F963" s="22" t="s">
        <v>46</v>
      </c>
      <c r="G963" s="25" t="s">
        <v>125</v>
      </c>
    </row>
    <row r="964" spans="1:7">
      <c r="A964" s="21" t="s">
        <v>1086</v>
      </c>
      <c r="B964" s="22" t="s">
        <v>56</v>
      </c>
      <c r="C964" s="22" t="s">
        <v>124</v>
      </c>
      <c r="D964" s="23">
        <v>1</v>
      </c>
      <c r="E964" s="24">
        <f>SUM($D$2:D964)/SUM($D$2:$D$2846)</f>
        <v>0.8401019541206457</v>
      </c>
      <c r="F964" s="22" t="s">
        <v>46</v>
      </c>
      <c r="G964" s="25" t="s">
        <v>125</v>
      </c>
    </row>
    <row r="965" spans="1:7">
      <c r="A965" s="21" t="s">
        <v>1087</v>
      </c>
      <c r="B965" s="22" t="s">
        <v>56</v>
      </c>
      <c r="C965" s="22" t="s">
        <v>124</v>
      </c>
      <c r="D965" s="23">
        <v>1</v>
      </c>
      <c r="E965" s="24">
        <f>SUM($D$2:D965)/SUM($D$2:$D$2846)</f>
        <v>0.84018691588785044</v>
      </c>
      <c r="F965" s="22" t="s">
        <v>46</v>
      </c>
      <c r="G965" s="25" t="s">
        <v>125</v>
      </c>
    </row>
    <row r="966" spans="1:7">
      <c r="A966" s="21" t="s">
        <v>1088</v>
      </c>
      <c r="B966" s="22" t="s">
        <v>56</v>
      </c>
      <c r="C966" s="22" t="s">
        <v>124</v>
      </c>
      <c r="D966" s="23">
        <v>1</v>
      </c>
      <c r="E966" s="24">
        <f>SUM($D$2:D966)/SUM($D$2:$D$2846)</f>
        <v>0.84027187765505518</v>
      </c>
      <c r="F966" s="22" t="s">
        <v>46</v>
      </c>
      <c r="G966" s="25" t="s">
        <v>125</v>
      </c>
    </row>
    <row r="967" spans="1:7">
      <c r="A967" s="21" t="s">
        <v>1089</v>
      </c>
      <c r="B967" s="22" t="s">
        <v>56</v>
      </c>
      <c r="C967" s="22" t="s">
        <v>124</v>
      </c>
      <c r="D967" s="23">
        <v>1</v>
      </c>
      <c r="E967" s="24">
        <f>SUM($D$2:D967)/SUM($D$2:$D$2846)</f>
        <v>0.84035683942226003</v>
      </c>
      <c r="F967" s="22" t="s">
        <v>46</v>
      </c>
      <c r="G967" s="25" t="s">
        <v>125</v>
      </c>
    </row>
    <row r="968" spans="1:7">
      <c r="A968" s="21" t="s">
        <v>1090</v>
      </c>
      <c r="B968" s="22" t="s">
        <v>56</v>
      </c>
      <c r="C968" s="22" t="s">
        <v>124</v>
      </c>
      <c r="D968" s="23">
        <v>1</v>
      </c>
      <c r="E968" s="24">
        <f>SUM($D$2:D968)/SUM($D$2:$D$2846)</f>
        <v>0.84044180118946477</v>
      </c>
      <c r="F968" s="22" t="s">
        <v>46</v>
      </c>
      <c r="G968" s="25" t="s">
        <v>125</v>
      </c>
    </row>
    <row r="969" spans="1:7">
      <c r="A969" s="21" t="s">
        <v>1091</v>
      </c>
      <c r="B969" s="22" t="s">
        <v>56</v>
      </c>
      <c r="C969" s="22" t="s">
        <v>124</v>
      </c>
      <c r="D969" s="23">
        <v>1</v>
      </c>
      <c r="E969" s="24">
        <f>SUM($D$2:D969)/SUM($D$2:$D$2846)</f>
        <v>0.8405267629566695</v>
      </c>
      <c r="F969" s="22" t="s">
        <v>46</v>
      </c>
      <c r="G969" s="25" t="s">
        <v>125</v>
      </c>
    </row>
    <row r="970" spans="1:7">
      <c r="A970" s="21" t="s">
        <v>1092</v>
      </c>
      <c r="B970" s="22" t="s">
        <v>56</v>
      </c>
      <c r="C970" s="22" t="s">
        <v>124</v>
      </c>
      <c r="D970" s="23">
        <v>1</v>
      </c>
      <c r="E970" s="24">
        <f>SUM($D$2:D970)/SUM($D$2:$D$2846)</f>
        <v>0.84061172472387424</v>
      </c>
      <c r="F970" s="22" t="s">
        <v>46</v>
      </c>
      <c r="G970" s="25" t="s">
        <v>125</v>
      </c>
    </row>
    <row r="971" spans="1:7">
      <c r="A971" s="21" t="s">
        <v>1093</v>
      </c>
      <c r="B971" s="22" t="s">
        <v>56</v>
      </c>
      <c r="C971" s="22" t="s">
        <v>124</v>
      </c>
      <c r="D971" s="23">
        <v>1</v>
      </c>
      <c r="E971" s="24">
        <f>SUM($D$2:D971)/SUM($D$2:$D$2846)</f>
        <v>0.84069668649107898</v>
      </c>
      <c r="F971" s="22" t="s">
        <v>46</v>
      </c>
      <c r="G971" s="25" t="s">
        <v>125</v>
      </c>
    </row>
    <row r="972" spans="1:7">
      <c r="A972" s="21" t="s">
        <v>1094</v>
      </c>
      <c r="B972" s="22" t="s">
        <v>56</v>
      </c>
      <c r="C972" s="22" t="s">
        <v>124</v>
      </c>
      <c r="D972" s="23">
        <v>1</v>
      </c>
      <c r="E972" s="24">
        <f>SUM($D$2:D972)/SUM($D$2:$D$2846)</f>
        <v>0.84078164825828372</v>
      </c>
      <c r="F972" s="22" t="s">
        <v>46</v>
      </c>
      <c r="G972" s="25" t="s">
        <v>125</v>
      </c>
    </row>
    <row r="973" spans="1:7">
      <c r="A973" s="21" t="s">
        <v>1095</v>
      </c>
      <c r="B973" s="22" t="s">
        <v>56</v>
      </c>
      <c r="C973" s="22" t="s">
        <v>124</v>
      </c>
      <c r="D973" s="23">
        <v>1</v>
      </c>
      <c r="E973" s="24">
        <f>SUM($D$2:D973)/SUM($D$2:$D$2846)</f>
        <v>0.84086661002548857</v>
      </c>
      <c r="F973" s="22" t="s">
        <v>46</v>
      </c>
      <c r="G973" s="25" t="s">
        <v>125</v>
      </c>
    </row>
    <row r="974" spans="1:7">
      <c r="A974" s="21" t="s">
        <v>1096</v>
      </c>
      <c r="B974" s="22" t="s">
        <v>56</v>
      </c>
      <c r="C974" s="22" t="s">
        <v>124</v>
      </c>
      <c r="D974" s="23">
        <v>1</v>
      </c>
      <c r="E974" s="24">
        <f>SUM($D$2:D974)/SUM($D$2:$D$2846)</f>
        <v>0.84095157179269331</v>
      </c>
      <c r="F974" s="22" t="s">
        <v>46</v>
      </c>
      <c r="G974" s="25" t="s">
        <v>125</v>
      </c>
    </row>
    <row r="975" spans="1:7">
      <c r="A975" s="21" t="s">
        <v>1097</v>
      </c>
      <c r="B975" s="22" t="s">
        <v>56</v>
      </c>
      <c r="C975" s="22" t="s">
        <v>124</v>
      </c>
      <c r="D975" s="23">
        <v>1</v>
      </c>
      <c r="E975" s="24">
        <f>SUM($D$2:D975)/SUM($D$2:$D$2846)</f>
        <v>0.84103653355989805</v>
      </c>
      <c r="F975" s="22" t="s">
        <v>46</v>
      </c>
      <c r="G975" s="25" t="s">
        <v>125</v>
      </c>
    </row>
    <row r="976" spans="1:7">
      <c r="A976" s="21" t="s">
        <v>1098</v>
      </c>
      <c r="B976" s="22" t="s">
        <v>56</v>
      </c>
      <c r="C976" s="22" t="s">
        <v>124</v>
      </c>
      <c r="D976" s="23">
        <v>1</v>
      </c>
      <c r="E976" s="24">
        <f>SUM($D$2:D976)/SUM($D$2:$D$2846)</f>
        <v>0.84112149532710279</v>
      </c>
      <c r="F976" s="22" t="s">
        <v>46</v>
      </c>
      <c r="G976" s="25" t="s">
        <v>125</v>
      </c>
    </row>
    <row r="977" spans="1:7">
      <c r="A977" s="21" t="s">
        <v>1099</v>
      </c>
      <c r="B977" s="22" t="s">
        <v>56</v>
      </c>
      <c r="C977" s="22" t="s">
        <v>124</v>
      </c>
      <c r="D977" s="23">
        <v>1</v>
      </c>
      <c r="E977" s="24">
        <f>SUM($D$2:D977)/SUM($D$2:$D$2846)</f>
        <v>0.84120645709430752</v>
      </c>
      <c r="F977" s="22" t="s">
        <v>46</v>
      </c>
      <c r="G977" s="25" t="s">
        <v>125</v>
      </c>
    </row>
    <row r="978" spans="1:7">
      <c r="A978" s="21" t="s">
        <v>1100</v>
      </c>
      <c r="B978" s="22" t="s">
        <v>56</v>
      </c>
      <c r="C978" s="22" t="s">
        <v>124</v>
      </c>
      <c r="D978" s="23">
        <v>1</v>
      </c>
      <c r="E978" s="24">
        <f>SUM($D$2:D978)/SUM($D$2:$D$2846)</f>
        <v>0.84129141886151237</v>
      </c>
      <c r="F978" s="22" t="s">
        <v>46</v>
      </c>
      <c r="G978" s="25" t="s">
        <v>125</v>
      </c>
    </row>
    <row r="979" spans="1:7">
      <c r="A979" s="21" t="s">
        <v>1101</v>
      </c>
      <c r="B979" s="22" t="s">
        <v>56</v>
      </c>
      <c r="C979" s="22" t="s">
        <v>124</v>
      </c>
      <c r="D979" s="23">
        <v>1</v>
      </c>
      <c r="E979" s="24">
        <f>SUM($D$2:D979)/SUM($D$2:$D$2846)</f>
        <v>0.84137638062871711</v>
      </c>
      <c r="F979" s="22" t="s">
        <v>46</v>
      </c>
      <c r="G979" s="25" t="s">
        <v>125</v>
      </c>
    </row>
    <row r="980" spans="1:7">
      <c r="A980" s="21" t="s">
        <v>1102</v>
      </c>
      <c r="B980" s="22" t="s">
        <v>56</v>
      </c>
      <c r="C980" s="22" t="s">
        <v>124</v>
      </c>
      <c r="D980" s="23">
        <v>1</v>
      </c>
      <c r="E980" s="24">
        <f>SUM($D$2:D980)/SUM($D$2:$D$2846)</f>
        <v>0.84146134239592185</v>
      </c>
      <c r="F980" s="22" t="s">
        <v>46</v>
      </c>
      <c r="G980" s="25" t="s">
        <v>125</v>
      </c>
    </row>
    <row r="981" spans="1:7">
      <c r="A981" s="21" t="s">
        <v>1103</v>
      </c>
      <c r="B981" s="22" t="s">
        <v>56</v>
      </c>
      <c r="C981" s="22" t="s">
        <v>124</v>
      </c>
      <c r="D981" s="23">
        <v>1</v>
      </c>
      <c r="E981" s="24">
        <f>SUM($D$2:D981)/SUM($D$2:$D$2846)</f>
        <v>0.84154630416312659</v>
      </c>
      <c r="F981" s="22" t="s">
        <v>46</v>
      </c>
      <c r="G981" s="25" t="s">
        <v>125</v>
      </c>
    </row>
    <row r="982" spans="1:7">
      <c r="A982" s="21" t="s">
        <v>1104</v>
      </c>
      <c r="B982" s="26" t="s">
        <v>163</v>
      </c>
      <c r="C982" s="22" t="s">
        <v>45</v>
      </c>
      <c r="D982" s="23">
        <v>1</v>
      </c>
      <c r="E982" s="24">
        <f>SUM($D$2:D982)/SUM($D$2:$D$2846)</f>
        <v>0.84163126593033133</v>
      </c>
      <c r="F982" s="22" t="s">
        <v>46</v>
      </c>
      <c r="G982" s="25" t="s">
        <v>164</v>
      </c>
    </row>
    <row r="983" spans="1:7">
      <c r="A983" s="21" t="s">
        <v>1105</v>
      </c>
      <c r="B983" s="22" t="s">
        <v>56</v>
      </c>
      <c r="C983" s="22" t="s">
        <v>124</v>
      </c>
      <c r="D983" s="23">
        <v>1</v>
      </c>
      <c r="E983" s="24">
        <f>SUM($D$2:D983)/SUM($D$2:$D$2846)</f>
        <v>0.84171622769753607</v>
      </c>
      <c r="F983" s="22" t="s">
        <v>46</v>
      </c>
      <c r="G983" s="25" t="s">
        <v>125</v>
      </c>
    </row>
    <row r="984" spans="1:7">
      <c r="A984" s="21" t="s">
        <v>1106</v>
      </c>
      <c r="B984" s="22" t="s">
        <v>56</v>
      </c>
      <c r="C984" s="22" t="s">
        <v>124</v>
      </c>
      <c r="D984" s="23">
        <v>1</v>
      </c>
      <c r="E984" s="24">
        <f>SUM($D$2:D984)/SUM($D$2:$D$2846)</f>
        <v>0.84180118946474092</v>
      </c>
      <c r="F984" s="22" t="s">
        <v>46</v>
      </c>
      <c r="G984" s="25" t="s">
        <v>125</v>
      </c>
    </row>
    <row r="985" spans="1:7">
      <c r="A985" s="21" t="s">
        <v>1107</v>
      </c>
      <c r="B985" s="22" t="s">
        <v>56</v>
      </c>
      <c r="C985" s="22" t="s">
        <v>124</v>
      </c>
      <c r="D985" s="23">
        <v>1</v>
      </c>
      <c r="E985" s="24">
        <f>SUM($D$2:D985)/SUM($D$2:$D$2846)</f>
        <v>0.84188615123194566</v>
      </c>
      <c r="F985" s="22" t="s">
        <v>46</v>
      </c>
      <c r="G985" s="25" t="s">
        <v>125</v>
      </c>
    </row>
    <row r="986" spans="1:7">
      <c r="A986" s="21" t="s">
        <v>1108</v>
      </c>
      <c r="B986" s="22" t="s">
        <v>56</v>
      </c>
      <c r="C986" s="22" t="s">
        <v>124</v>
      </c>
      <c r="D986" s="23">
        <v>1</v>
      </c>
      <c r="E986" s="24">
        <f>SUM($D$2:D986)/SUM($D$2:$D$2846)</f>
        <v>0.8419711129991504</v>
      </c>
      <c r="F986" s="22" t="s">
        <v>46</v>
      </c>
      <c r="G986" s="25" t="s">
        <v>125</v>
      </c>
    </row>
    <row r="987" spans="1:7">
      <c r="A987" s="21" t="s">
        <v>1109</v>
      </c>
      <c r="B987" s="22" t="s">
        <v>56</v>
      </c>
      <c r="C987" s="22" t="s">
        <v>124</v>
      </c>
      <c r="D987" s="23">
        <v>1</v>
      </c>
      <c r="E987" s="24">
        <f>SUM($D$2:D987)/SUM($D$2:$D$2846)</f>
        <v>0.84205607476635513</v>
      </c>
      <c r="F987" s="22" t="s">
        <v>46</v>
      </c>
      <c r="G987" s="25" t="s">
        <v>125</v>
      </c>
    </row>
    <row r="988" spans="1:7">
      <c r="A988" s="21" t="s">
        <v>68</v>
      </c>
      <c r="B988" s="26" t="s">
        <v>44</v>
      </c>
      <c r="C988" s="22" t="s">
        <v>45</v>
      </c>
      <c r="D988" s="23">
        <v>1</v>
      </c>
      <c r="E988" s="24">
        <f>SUM($D$2:D988)/SUM($D$2:$D$2846)</f>
        <v>0.84214103653355987</v>
      </c>
      <c r="F988" s="22" t="s">
        <v>46</v>
      </c>
      <c r="G988" s="25" t="s">
        <v>47</v>
      </c>
    </row>
    <row r="989" spans="1:7">
      <c r="A989" s="21" t="s">
        <v>1110</v>
      </c>
      <c r="B989" s="22" t="s">
        <v>44</v>
      </c>
      <c r="C989" s="22" t="s">
        <v>124</v>
      </c>
      <c r="D989" s="23">
        <v>1</v>
      </c>
      <c r="E989" s="24">
        <f>SUM($D$2:D989)/SUM($D$2:$D$2846)</f>
        <v>0.84222599830076461</v>
      </c>
      <c r="F989" s="22" t="s">
        <v>46</v>
      </c>
      <c r="G989" s="25" t="s">
        <v>194</v>
      </c>
    </row>
    <row r="990" spans="1:7">
      <c r="A990" s="21" t="s">
        <v>69</v>
      </c>
      <c r="B990" s="26" t="s">
        <v>44</v>
      </c>
      <c r="C990" s="22" t="s">
        <v>45</v>
      </c>
      <c r="D990" s="23">
        <v>1</v>
      </c>
      <c r="E990" s="24">
        <f>SUM($D$2:D990)/SUM($D$2:$D$2846)</f>
        <v>0.84231096006796946</v>
      </c>
      <c r="F990" s="22" t="s">
        <v>46</v>
      </c>
      <c r="G990" s="25" t="s">
        <v>47</v>
      </c>
    </row>
    <row r="991" spans="1:7">
      <c r="A991" s="21" t="s">
        <v>70</v>
      </c>
      <c r="B991" s="26" t="s">
        <v>44</v>
      </c>
      <c r="C991" s="22" t="s">
        <v>45</v>
      </c>
      <c r="D991" s="23">
        <v>1</v>
      </c>
      <c r="E991" s="24">
        <f>SUM($D$2:D991)/SUM($D$2:$D$2846)</f>
        <v>0.8423959218351742</v>
      </c>
      <c r="F991" s="22" t="s">
        <v>46</v>
      </c>
      <c r="G991" s="25" t="s">
        <v>47</v>
      </c>
    </row>
    <row r="992" spans="1:7">
      <c r="A992" s="21" t="s">
        <v>1111</v>
      </c>
      <c r="B992" s="22" t="s">
        <v>44</v>
      </c>
      <c r="C992" s="22" t="s">
        <v>124</v>
      </c>
      <c r="D992" s="23">
        <v>1</v>
      </c>
      <c r="E992" s="24">
        <f>SUM($D$2:D992)/SUM($D$2:$D$2846)</f>
        <v>0.84248088360237894</v>
      </c>
      <c r="F992" s="22" t="s">
        <v>46</v>
      </c>
      <c r="G992" s="25" t="s">
        <v>194</v>
      </c>
    </row>
    <row r="993" spans="1:7">
      <c r="A993" s="21" t="s">
        <v>1112</v>
      </c>
      <c r="B993" s="22" t="s">
        <v>44</v>
      </c>
      <c r="C993" s="22" t="s">
        <v>124</v>
      </c>
      <c r="D993" s="23">
        <v>1</v>
      </c>
      <c r="E993" s="24">
        <f>SUM($D$2:D993)/SUM($D$2:$D$2846)</f>
        <v>0.84256584536958368</v>
      </c>
      <c r="F993" s="22" t="s">
        <v>46</v>
      </c>
      <c r="G993" s="25" t="s">
        <v>194</v>
      </c>
    </row>
    <row r="994" spans="1:7">
      <c r="A994" s="21" t="s">
        <v>71</v>
      </c>
      <c r="B994" s="26" t="s">
        <v>44</v>
      </c>
      <c r="C994" s="22" t="s">
        <v>45</v>
      </c>
      <c r="D994" s="23">
        <v>1</v>
      </c>
      <c r="E994" s="24">
        <f>SUM($D$2:D994)/SUM($D$2:$D$2846)</f>
        <v>0.84265080713678842</v>
      </c>
      <c r="F994" s="22" t="s">
        <v>46</v>
      </c>
      <c r="G994" s="25" t="s">
        <v>47</v>
      </c>
    </row>
    <row r="995" spans="1:7">
      <c r="A995" s="21" t="s">
        <v>1113</v>
      </c>
      <c r="B995" s="22" t="s">
        <v>56</v>
      </c>
      <c r="C995" s="22" t="s">
        <v>124</v>
      </c>
      <c r="D995" s="23">
        <v>1</v>
      </c>
      <c r="E995" s="24">
        <f>SUM($D$2:D995)/SUM($D$2:$D$2846)</f>
        <v>0.84273576890399315</v>
      </c>
      <c r="F995" s="22" t="s">
        <v>46</v>
      </c>
      <c r="G995" s="25" t="s">
        <v>125</v>
      </c>
    </row>
    <row r="996" spans="1:7">
      <c r="A996" s="21" t="s">
        <v>1114</v>
      </c>
      <c r="B996" s="22" t="s">
        <v>56</v>
      </c>
      <c r="C996" s="22" t="s">
        <v>124</v>
      </c>
      <c r="D996" s="23">
        <v>1</v>
      </c>
      <c r="E996" s="24">
        <f>SUM($D$2:D996)/SUM($D$2:$D$2846)</f>
        <v>0.842820730671198</v>
      </c>
      <c r="F996" s="22" t="s">
        <v>46</v>
      </c>
      <c r="G996" s="25" t="s">
        <v>125</v>
      </c>
    </row>
    <row r="997" spans="1:7">
      <c r="A997" s="21" t="s">
        <v>1115</v>
      </c>
      <c r="B997" s="26" t="s">
        <v>163</v>
      </c>
      <c r="C997" s="22" t="s">
        <v>45</v>
      </c>
      <c r="D997" s="23">
        <v>1</v>
      </c>
      <c r="E997" s="24">
        <f>SUM($D$2:D997)/SUM($D$2:$D$2846)</f>
        <v>0.84290569243840274</v>
      </c>
      <c r="F997" s="22" t="s">
        <v>46</v>
      </c>
      <c r="G997" s="25" t="s">
        <v>164</v>
      </c>
    </row>
    <row r="998" spans="1:7">
      <c r="A998" s="21" t="s">
        <v>1116</v>
      </c>
      <c r="B998" s="26" t="s">
        <v>163</v>
      </c>
      <c r="C998" s="22" t="s">
        <v>45</v>
      </c>
      <c r="D998" s="23">
        <v>1</v>
      </c>
      <c r="E998" s="24">
        <f>SUM($D$2:D998)/SUM($D$2:$D$2846)</f>
        <v>0.84299065420560748</v>
      </c>
      <c r="F998" s="22" t="s">
        <v>46</v>
      </c>
      <c r="G998" s="25" t="s">
        <v>164</v>
      </c>
    </row>
    <row r="999" spans="1:7">
      <c r="A999" s="21" t="s">
        <v>1117</v>
      </c>
      <c r="B999" s="26" t="s">
        <v>163</v>
      </c>
      <c r="C999" s="22" t="s">
        <v>45</v>
      </c>
      <c r="D999" s="23">
        <v>1</v>
      </c>
      <c r="E999" s="24">
        <f>SUM($D$2:D999)/SUM($D$2:$D$2846)</f>
        <v>0.84307561597281222</v>
      </c>
      <c r="F999" s="22" t="s">
        <v>46</v>
      </c>
      <c r="G999" s="25" t="s">
        <v>164</v>
      </c>
    </row>
    <row r="1000" spans="1:7">
      <c r="A1000" s="21" t="s">
        <v>1118</v>
      </c>
      <c r="B1000" s="26" t="s">
        <v>163</v>
      </c>
      <c r="C1000" s="22" t="s">
        <v>45</v>
      </c>
      <c r="D1000" s="23">
        <v>1</v>
      </c>
      <c r="E1000" s="24">
        <f>SUM($D$2:D1000)/SUM($D$2:$D$2846)</f>
        <v>0.84316057774001696</v>
      </c>
      <c r="F1000" s="22" t="s">
        <v>46</v>
      </c>
      <c r="G1000" s="25" t="s">
        <v>164</v>
      </c>
    </row>
    <row r="1001" spans="1:7">
      <c r="A1001" s="21" t="s">
        <v>1119</v>
      </c>
      <c r="B1001" s="26" t="s">
        <v>163</v>
      </c>
      <c r="C1001" s="22" t="s">
        <v>45</v>
      </c>
      <c r="D1001" s="23">
        <v>1</v>
      </c>
      <c r="E1001" s="24">
        <f>SUM($D$2:D1001)/SUM($D$2:$D$2846)</f>
        <v>0.8432455395072217</v>
      </c>
      <c r="F1001" s="22" t="s">
        <v>46</v>
      </c>
      <c r="G1001" s="25" t="s">
        <v>164</v>
      </c>
    </row>
    <row r="1002" spans="1:7">
      <c r="A1002" s="21" t="s">
        <v>1120</v>
      </c>
      <c r="B1002" s="26" t="s">
        <v>163</v>
      </c>
      <c r="C1002" s="22" t="s">
        <v>45</v>
      </c>
      <c r="D1002" s="23">
        <v>1</v>
      </c>
      <c r="E1002" s="24">
        <f>SUM($D$2:D1002)/SUM($D$2:$D$2846)</f>
        <v>0.84333050127442655</v>
      </c>
      <c r="F1002" s="22" t="s">
        <v>46</v>
      </c>
      <c r="G1002" s="25" t="s">
        <v>164</v>
      </c>
    </row>
    <row r="1003" spans="1:7">
      <c r="A1003" s="21" t="s">
        <v>1121</v>
      </c>
      <c r="B1003" s="26" t="s">
        <v>163</v>
      </c>
      <c r="C1003" s="22" t="s">
        <v>45</v>
      </c>
      <c r="D1003" s="23">
        <v>1</v>
      </c>
      <c r="E1003" s="24">
        <f>SUM($D$2:D1003)/SUM($D$2:$D$2846)</f>
        <v>0.84341546304163129</v>
      </c>
      <c r="F1003" s="22" t="s">
        <v>46</v>
      </c>
      <c r="G1003" s="25" t="s">
        <v>164</v>
      </c>
    </row>
    <row r="1004" spans="1:7">
      <c r="A1004" s="21" t="s">
        <v>1122</v>
      </c>
      <c r="B1004" s="26" t="s">
        <v>163</v>
      </c>
      <c r="C1004" s="22" t="s">
        <v>45</v>
      </c>
      <c r="D1004" s="23">
        <v>1</v>
      </c>
      <c r="E1004" s="24">
        <f>SUM($D$2:D1004)/SUM($D$2:$D$2846)</f>
        <v>0.84350042480883602</v>
      </c>
      <c r="F1004" s="22" t="s">
        <v>46</v>
      </c>
      <c r="G1004" s="25" t="s">
        <v>164</v>
      </c>
    </row>
    <row r="1005" spans="1:7">
      <c r="A1005" s="21" t="s">
        <v>1123</v>
      </c>
      <c r="B1005" s="26" t="s">
        <v>163</v>
      </c>
      <c r="C1005" s="22" t="s">
        <v>45</v>
      </c>
      <c r="D1005" s="23">
        <v>1</v>
      </c>
      <c r="E1005" s="24">
        <f>SUM($D$2:D1005)/SUM($D$2:$D$2846)</f>
        <v>0.84358538657604076</v>
      </c>
      <c r="F1005" s="22" t="s">
        <v>46</v>
      </c>
      <c r="G1005" s="25" t="s">
        <v>164</v>
      </c>
    </row>
    <row r="1006" spans="1:7">
      <c r="A1006" s="21" t="s">
        <v>1124</v>
      </c>
      <c r="B1006" s="26" t="s">
        <v>163</v>
      </c>
      <c r="C1006" s="22" t="s">
        <v>45</v>
      </c>
      <c r="D1006" s="23">
        <v>1</v>
      </c>
      <c r="E1006" s="24">
        <f>SUM($D$2:D1006)/SUM($D$2:$D$2846)</f>
        <v>0.8436703483432455</v>
      </c>
      <c r="F1006" s="22" t="s">
        <v>46</v>
      </c>
      <c r="G1006" s="25" t="s">
        <v>164</v>
      </c>
    </row>
    <row r="1007" spans="1:7">
      <c r="A1007" s="21" t="s">
        <v>1125</v>
      </c>
      <c r="B1007" s="26" t="s">
        <v>163</v>
      </c>
      <c r="C1007" s="22" t="s">
        <v>45</v>
      </c>
      <c r="D1007" s="23">
        <v>1</v>
      </c>
      <c r="E1007" s="24">
        <f>SUM($D$2:D1007)/SUM($D$2:$D$2846)</f>
        <v>0.84375531011045035</v>
      </c>
      <c r="F1007" s="22" t="s">
        <v>46</v>
      </c>
      <c r="G1007" s="25" t="s">
        <v>164</v>
      </c>
    </row>
    <row r="1008" spans="1:7">
      <c r="A1008" s="21" t="s">
        <v>1126</v>
      </c>
      <c r="B1008" s="26" t="s">
        <v>163</v>
      </c>
      <c r="C1008" s="22" t="s">
        <v>45</v>
      </c>
      <c r="D1008" s="23">
        <v>1</v>
      </c>
      <c r="E1008" s="24">
        <f>SUM($D$2:D1008)/SUM($D$2:$D$2846)</f>
        <v>0.84384027187765509</v>
      </c>
      <c r="F1008" s="22" t="s">
        <v>46</v>
      </c>
      <c r="G1008" s="25" t="s">
        <v>164</v>
      </c>
    </row>
    <row r="1009" spans="1:7">
      <c r="A1009" s="21" t="s">
        <v>1127</v>
      </c>
      <c r="B1009" s="26" t="s">
        <v>163</v>
      </c>
      <c r="C1009" s="22" t="s">
        <v>45</v>
      </c>
      <c r="D1009" s="23">
        <v>1</v>
      </c>
      <c r="E1009" s="24">
        <f>SUM($D$2:D1009)/SUM($D$2:$D$2846)</f>
        <v>0.84392523364485983</v>
      </c>
      <c r="F1009" s="22" t="s">
        <v>46</v>
      </c>
      <c r="G1009" s="25" t="s">
        <v>164</v>
      </c>
    </row>
    <row r="1010" spans="1:7">
      <c r="A1010" s="21" t="s">
        <v>1128</v>
      </c>
      <c r="B1010" s="26" t="s">
        <v>163</v>
      </c>
      <c r="C1010" s="22" t="s">
        <v>45</v>
      </c>
      <c r="D1010" s="23">
        <v>1</v>
      </c>
      <c r="E1010" s="24">
        <f>SUM($D$2:D1010)/SUM($D$2:$D$2846)</f>
        <v>0.84401019541206457</v>
      </c>
      <c r="F1010" s="22" t="s">
        <v>46</v>
      </c>
      <c r="G1010" s="25" t="s">
        <v>164</v>
      </c>
    </row>
    <row r="1011" spans="1:7">
      <c r="A1011" s="21" t="s">
        <v>1129</v>
      </c>
      <c r="B1011" s="26" t="s">
        <v>163</v>
      </c>
      <c r="C1011" s="22" t="s">
        <v>45</v>
      </c>
      <c r="D1011" s="23">
        <v>1</v>
      </c>
      <c r="E1011" s="24">
        <f>SUM($D$2:D1011)/SUM($D$2:$D$2846)</f>
        <v>0.84409515717926931</v>
      </c>
      <c r="F1011" s="22" t="s">
        <v>46</v>
      </c>
      <c r="G1011" s="25" t="s">
        <v>164</v>
      </c>
    </row>
    <row r="1012" spans="1:7">
      <c r="A1012" s="21" t="s">
        <v>1130</v>
      </c>
      <c r="B1012" s="26" t="s">
        <v>163</v>
      </c>
      <c r="C1012" s="22" t="s">
        <v>45</v>
      </c>
      <c r="D1012" s="23">
        <v>1</v>
      </c>
      <c r="E1012" s="24">
        <f>SUM($D$2:D1012)/SUM($D$2:$D$2846)</f>
        <v>0.84418011894647405</v>
      </c>
      <c r="F1012" s="22" t="s">
        <v>46</v>
      </c>
      <c r="G1012" s="25" t="s">
        <v>164</v>
      </c>
    </row>
    <row r="1013" spans="1:7">
      <c r="A1013" s="21" t="s">
        <v>1131</v>
      </c>
      <c r="B1013" s="26" t="s">
        <v>163</v>
      </c>
      <c r="C1013" s="22" t="s">
        <v>45</v>
      </c>
      <c r="D1013" s="23">
        <v>1</v>
      </c>
      <c r="E1013" s="24">
        <f>SUM($D$2:D1013)/SUM($D$2:$D$2846)</f>
        <v>0.84426508071367889</v>
      </c>
      <c r="F1013" s="22" t="s">
        <v>46</v>
      </c>
      <c r="G1013" s="25" t="s">
        <v>164</v>
      </c>
    </row>
    <row r="1014" spans="1:7">
      <c r="A1014" s="21" t="s">
        <v>1132</v>
      </c>
      <c r="B1014" s="26" t="s">
        <v>163</v>
      </c>
      <c r="C1014" s="22" t="s">
        <v>45</v>
      </c>
      <c r="D1014" s="23">
        <v>1</v>
      </c>
      <c r="E1014" s="24">
        <f>SUM($D$2:D1014)/SUM($D$2:$D$2846)</f>
        <v>0.84435004248088363</v>
      </c>
      <c r="F1014" s="22" t="s">
        <v>46</v>
      </c>
      <c r="G1014" s="25" t="s">
        <v>164</v>
      </c>
    </row>
    <row r="1015" spans="1:7">
      <c r="A1015" s="21" t="s">
        <v>1133</v>
      </c>
      <c r="B1015" s="26" t="s">
        <v>163</v>
      </c>
      <c r="C1015" s="22" t="s">
        <v>45</v>
      </c>
      <c r="D1015" s="23">
        <v>1</v>
      </c>
      <c r="E1015" s="24">
        <f>SUM($D$2:D1015)/SUM($D$2:$D$2846)</f>
        <v>0.84443500424808837</v>
      </c>
      <c r="F1015" s="22" t="s">
        <v>46</v>
      </c>
      <c r="G1015" s="25" t="s">
        <v>164</v>
      </c>
    </row>
    <row r="1016" spans="1:7">
      <c r="A1016" s="21" t="s">
        <v>1134</v>
      </c>
      <c r="B1016" s="22" t="s">
        <v>56</v>
      </c>
      <c r="C1016" s="22" t="s">
        <v>124</v>
      </c>
      <c r="D1016" s="23">
        <v>1</v>
      </c>
      <c r="E1016" s="24">
        <f>SUM($D$2:D1016)/SUM($D$2:$D$2846)</f>
        <v>0.84451996601529311</v>
      </c>
      <c r="F1016" s="22" t="s">
        <v>46</v>
      </c>
      <c r="G1016" s="25" t="s">
        <v>125</v>
      </c>
    </row>
    <row r="1017" spans="1:7">
      <c r="A1017" s="21" t="s">
        <v>1135</v>
      </c>
      <c r="B1017" s="26" t="s">
        <v>163</v>
      </c>
      <c r="C1017" s="22" t="s">
        <v>45</v>
      </c>
      <c r="D1017" s="23">
        <v>1</v>
      </c>
      <c r="E1017" s="24">
        <f>SUM($D$2:D1017)/SUM($D$2:$D$2846)</f>
        <v>0.84460492778249785</v>
      </c>
      <c r="F1017" s="22" t="s">
        <v>46</v>
      </c>
      <c r="G1017" s="25" t="s">
        <v>164</v>
      </c>
    </row>
    <row r="1018" spans="1:7">
      <c r="A1018" s="21" t="s">
        <v>1136</v>
      </c>
      <c r="B1018" s="26" t="s">
        <v>163</v>
      </c>
      <c r="C1018" s="22" t="s">
        <v>45</v>
      </c>
      <c r="D1018" s="23">
        <v>1</v>
      </c>
      <c r="E1018" s="24">
        <f>SUM($D$2:D1018)/SUM($D$2:$D$2846)</f>
        <v>0.84468988954970259</v>
      </c>
      <c r="F1018" s="22" t="s">
        <v>46</v>
      </c>
      <c r="G1018" s="25" t="s">
        <v>164</v>
      </c>
    </row>
    <row r="1019" spans="1:7">
      <c r="A1019" s="21" t="s">
        <v>1137</v>
      </c>
      <c r="B1019" s="22" t="s">
        <v>129</v>
      </c>
      <c r="C1019" s="22" t="s">
        <v>124</v>
      </c>
      <c r="D1019" s="23">
        <v>1</v>
      </c>
      <c r="E1019" s="24">
        <f>SUM($D$2:D1019)/SUM($D$2:$D$2846)</f>
        <v>0.84477485131690744</v>
      </c>
      <c r="F1019" s="22" t="s">
        <v>46</v>
      </c>
      <c r="G1019" s="25" t="s">
        <v>130</v>
      </c>
    </row>
    <row r="1020" spans="1:7">
      <c r="A1020" s="21" t="s">
        <v>1138</v>
      </c>
      <c r="B1020" s="26" t="s">
        <v>163</v>
      </c>
      <c r="C1020" s="22" t="s">
        <v>45</v>
      </c>
      <c r="D1020" s="23">
        <v>1</v>
      </c>
      <c r="E1020" s="24">
        <f>SUM($D$2:D1020)/SUM($D$2:$D$2846)</f>
        <v>0.84485981308411218</v>
      </c>
      <c r="F1020" s="22" t="s">
        <v>46</v>
      </c>
      <c r="G1020" s="25" t="s">
        <v>164</v>
      </c>
    </row>
    <row r="1021" spans="1:7">
      <c r="A1021" s="21" t="s">
        <v>1139</v>
      </c>
      <c r="B1021" s="26" t="s">
        <v>163</v>
      </c>
      <c r="C1021" s="22" t="s">
        <v>45</v>
      </c>
      <c r="D1021" s="23">
        <v>1</v>
      </c>
      <c r="E1021" s="24">
        <f>SUM($D$2:D1021)/SUM($D$2:$D$2846)</f>
        <v>0.84494477485131692</v>
      </c>
      <c r="F1021" s="22" t="s">
        <v>46</v>
      </c>
      <c r="G1021" s="25" t="s">
        <v>164</v>
      </c>
    </row>
    <row r="1022" spans="1:7">
      <c r="A1022" s="21" t="s">
        <v>1140</v>
      </c>
      <c r="B1022" s="26" t="s">
        <v>163</v>
      </c>
      <c r="C1022" s="22" t="s">
        <v>45</v>
      </c>
      <c r="D1022" s="23">
        <v>1</v>
      </c>
      <c r="E1022" s="24">
        <f>SUM($D$2:D1022)/SUM($D$2:$D$2846)</f>
        <v>0.84502973661852165</v>
      </c>
      <c r="F1022" s="22" t="s">
        <v>46</v>
      </c>
      <c r="G1022" s="25" t="s">
        <v>164</v>
      </c>
    </row>
    <row r="1023" spans="1:7">
      <c r="A1023" s="21" t="s">
        <v>1141</v>
      </c>
      <c r="B1023" s="26" t="s">
        <v>163</v>
      </c>
      <c r="C1023" s="22" t="s">
        <v>45</v>
      </c>
      <c r="D1023" s="23">
        <v>1</v>
      </c>
      <c r="E1023" s="24">
        <f>SUM($D$2:D1023)/SUM($D$2:$D$2846)</f>
        <v>0.84511469838572639</v>
      </c>
      <c r="F1023" s="22" t="s">
        <v>46</v>
      </c>
      <c r="G1023" s="25" t="s">
        <v>164</v>
      </c>
    </row>
    <row r="1024" spans="1:7">
      <c r="A1024" s="21" t="s">
        <v>1142</v>
      </c>
      <c r="B1024" s="26" t="s">
        <v>163</v>
      </c>
      <c r="C1024" s="22" t="s">
        <v>45</v>
      </c>
      <c r="D1024" s="23">
        <v>1</v>
      </c>
      <c r="E1024" s="24">
        <f>SUM($D$2:D1024)/SUM($D$2:$D$2846)</f>
        <v>0.84519966015293113</v>
      </c>
      <c r="F1024" s="22" t="s">
        <v>46</v>
      </c>
      <c r="G1024" s="25" t="s">
        <v>164</v>
      </c>
    </row>
    <row r="1025" spans="1:7">
      <c r="A1025" s="21" t="s">
        <v>1143</v>
      </c>
      <c r="B1025" s="22" t="s">
        <v>56</v>
      </c>
      <c r="C1025" s="22" t="s">
        <v>124</v>
      </c>
      <c r="D1025" s="23">
        <v>1</v>
      </c>
      <c r="E1025" s="24">
        <f>SUM($D$2:D1025)/SUM($D$2:$D$2846)</f>
        <v>0.84528462192013598</v>
      </c>
      <c r="F1025" s="22" t="s">
        <v>46</v>
      </c>
      <c r="G1025" s="25" t="s">
        <v>125</v>
      </c>
    </row>
    <row r="1026" spans="1:7">
      <c r="A1026" s="21" t="s">
        <v>1144</v>
      </c>
      <c r="B1026" s="26" t="s">
        <v>163</v>
      </c>
      <c r="C1026" s="22" t="s">
        <v>45</v>
      </c>
      <c r="D1026" s="23">
        <v>1</v>
      </c>
      <c r="E1026" s="24">
        <f>SUM($D$2:D1026)/SUM($D$2:$D$2846)</f>
        <v>0.84536958368734072</v>
      </c>
      <c r="F1026" s="22" t="s">
        <v>46</v>
      </c>
      <c r="G1026" s="25" t="s">
        <v>164</v>
      </c>
    </row>
    <row r="1027" spans="1:7">
      <c r="A1027" s="21" t="s">
        <v>1145</v>
      </c>
      <c r="B1027" s="26" t="s">
        <v>163</v>
      </c>
      <c r="C1027" s="22" t="s">
        <v>45</v>
      </c>
      <c r="D1027" s="23">
        <v>1</v>
      </c>
      <c r="E1027" s="24">
        <f>SUM($D$2:D1027)/SUM($D$2:$D$2846)</f>
        <v>0.84545454545454546</v>
      </c>
      <c r="F1027" s="22" t="s">
        <v>46</v>
      </c>
      <c r="G1027" s="25" t="s">
        <v>164</v>
      </c>
    </row>
    <row r="1028" spans="1:7">
      <c r="A1028" s="21" t="s">
        <v>1146</v>
      </c>
      <c r="B1028" s="26" t="s">
        <v>163</v>
      </c>
      <c r="C1028" s="22" t="s">
        <v>45</v>
      </c>
      <c r="D1028" s="23">
        <v>1</v>
      </c>
      <c r="E1028" s="24">
        <f>SUM($D$2:D1028)/SUM($D$2:$D$2846)</f>
        <v>0.8455395072217502</v>
      </c>
      <c r="F1028" s="22" t="s">
        <v>46</v>
      </c>
      <c r="G1028" s="25" t="s">
        <v>164</v>
      </c>
    </row>
    <row r="1029" spans="1:7">
      <c r="A1029" s="21" t="s">
        <v>1147</v>
      </c>
      <c r="B1029" s="22" t="s">
        <v>56</v>
      </c>
      <c r="C1029" s="22" t="s">
        <v>124</v>
      </c>
      <c r="D1029" s="23">
        <v>1</v>
      </c>
      <c r="E1029" s="24">
        <f>SUM($D$2:D1029)/SUM($D$2:$D$2846)</f>
        <v>0.84562446898895494</v>
      </c>
      <c r="F1029" s="22" t="s">
        <v>46</v>
      </c>
      <c r="G1029" s="25" t="s">
        <v>125</v>
      </c>
    </row>
    <row r="1030" spans="1:7">
      <c r="A1030" s="21" t="s">
        <v>1148</v>
      </c>
      <c r="B1030" s="26" t="s">
        <v>163</v>
      </c>
      <c r="C1030" s="22" t="s">
        <v>45</v>
      </c>
      <c r="D1030" s="23">
        <v>1</v>
      </c>
      <c r="E1030" s="24">
        <f>SUM($D$2:D1030)/SUM($D$2:$D$2846)</f>
        <v>0.84570943075615967</v>
      </c>
      <c r="F1030" s="22" t="s">
        <v>46</v>
      </c>
      <c r="G1030" s="25" t="s">
        <v>164</v>
      </c>
    </row>
    <row r="1031" spans="1:7">
      <c r="A1031" s="21" t="s">
        <v>1149</v>
      </c>
      <c r="B1031" s="26" t="s">
        <v>163</v>
      </c>
      <c r="C1031" s="22" t="s">
        <v>45</v>
      </c>
      <c r="D1031" s="23">
        <v>1</v>
      </c>
      <c r="E1031" s="24">
        <f>SUM($D$2:D1031)/SUM($D$2:$D$2846)</f>
        <v>0.84579439252336452</v>
      </c>
      <c r="F1031" s="22" t="s">
        <v>46</v>
      </c>
      <c r="G1031" s="25" t="s">
        <v>164</v>
      </c>
    </row>
    <row r="1032" spans="1:7">
      <c r="A1032" s="21" t="s">
        <v>1150</v>
      </c>
      <c r="B1032" s="22" t="s">
        <v>56</v>
      </c>
      <c r="C1032" s="22" t="s">
        <v>124</v>
      </c>
      <c r="D1032" s="23">
        <v>1</v>
      </c>
      <c r="E1032" s="24">
        <f>SUM($D$2:D1032)/SUM($D$2:$D$2846)</f>
        <v>0.84587935429056926</v>
      </c>
      <c r="F1032" s="22" t="s">
        <v>46</v>
      </c>
      <c r="G1032" s="25" t="s">
        <v>125</v>
      </c>
    </row>
    <row r="1033" spans="1:7">
      <c r="A1033" s="21" t="s">
        <v>1151</v>
      </c>
      <c r="B1033" s="22" t="s">
        <v>129</v>
      </c>
      <c r="C1033" s="22" t="s">
        <v>124</v>
      </c>
      <c r="D1033" s="23">
        <v>1</v>
      </c>
      <c r="E1033" s="24">
        <f>SUM($D$2:D1033)/SUM($D$2:$D$2846)</f>
        <v>0.845964316057774</v>
      </c>
      <c r="F1033" s="22" t="s">
        <v>46</v>
      </c>
      <c r="G1033" s="25" t="s">
        <v>130</v>
      </c>
    </row>
    <row r="1034" spans="1:7">
      <c r="A1034" s="21" t="s">
        <v>1152</v>
      </c>
      <c r="B1034" s="22" t="s">
        <v>129</v>
      </c>
      <c r="C1034" s="22" t="s">
        <v>124</v>
      </c>
      <c r="D1034" s="23">
        <v>1</v>
      </c>
      <c r="E1034" s="24">
        <f>SUM($D$2:D1034)/SUM($D$2:$D$2846)</f>
        <v>0.84604927782497874</v>
      </c>
      <c r="F1034" s="22" t="s">
        <v>46</v>
      </c>
      <c r="G1034" s="25" t="s">
        <v>130</v>
      </c>
    </row>
    <row r="1035" spans="1:7">
      <c r="A1035" s="21" t="s">
        <v>1153</v>
      </c>
      <c r="B1035" s="22" t="s">
        <v>56</v>
      </c>
      <c r="C1035" s="22" t="s">
        <v>124</v>
      </c>
      <c r="D1035" s="23">
        <v>1</v>
      </c>
      <c r="E1035" s="24">
        <f>SUM($D$2:D1035)/SUM($D$2:$D$2846)</f>
        <v>0.84613423959218348</v>
      </c>
      <c r="F1035" s="22" t="s">
        <v>46</v>
      </c>
      <c r="G1035" s="25" t="s">
        <v>125</v>
      </c>
    </row>
    <row r="1036" spans="1:7">
      <c r="A1036" s="21" t="s">
        <v>1154</v>
      </c>
      <c r="B1036" s="22" t="s">
        <v>56</v>
      </c>
      <c r="C1036" s="22" t="s">
        <v>124</v>
      </c>
      <c r="D1036" s="23">
        <v>1</v>
      </c>
      <c r="E1036" s="24">
        <f>SUM($D$2:D1036)/SUM($D$2:$D$2846)</f>
        <v>0.84621920135938833</v>
      </c>
      <c r="F1036" s="22" t="s">
        <v>46</v>
      </c>
      <c r="G1036" s="25" t="s">
        <v>125</v>
      </c>
    </row>
    <row r="1037" spans="1:7">
      <c r="A1037" s="21" t="s">
        <v>1155</v>
      </c>
      <c r="B1037" s="22" t="s">
        <v>56</v>
      </c>
      <c r="C1037" s="22" t="s">
        <v>124</v>
      </c>
      <c r="D1037" s="23">
        <v>1</v>
      </c>
      <c r="E1037" s="24">
        <f>SUM($D$2:D1037)/SUM($D$2:$D$2846)</f>
        <v>0.84630416312659307</v>
      </c>
      <c r="F1037" s="22" t="s">
        <v>46</v>
      </c>
      <c r="G1037" s="25" t="s">
        <v>125</v>
      </c>
    </row>
    <row r="1038" spans="1:7">
      <c r="A1038" s="21" t="s">
        <v>1156</v>
      </c>
      <c r="B1038" s="22" t="s">
        <v>56</v>
      </c>
      <c r="C1038" s="22" t="s">
        <v>124</v>
      </c>
      <c r="D1038" s="23">
        <v>1</v>
      </c>
      <c r="E1038" s="24">
        <f>SUM($D$2:D1038)/SUM($D$2:$D$2846)</f>
        <v>0.84638912489379781</v>
      </c>
      <c r="F1038" s="22" t="s">
        <v>46</v>
      </c>
      <c r="G1038" s="25" t="s">
        <v>125</v>
      </c>
    </row>
    <row r="1039" spans="1:7">
      <c r="A1039" s="21" t="s">
        <v>1157</v>
      </c>
      <c r="B1039" s="22" t="s">
        <v>56</v>
      </c>
      <c r="C1039" s="22" t="s">
        <v>124</v>
      </c>
      <c r="D1039" s="23">
        <v>1</v>
      </c>
      <c r="E1039" s="24">
        <f>SUM($D$2:D1039)/SUM($D$2:$D$2846)</f>
        <v>0.84647408666100254</v>
      </c>
      <c r="F1039" s="22" t="s">
        <v>46</v>
      </c>
      <c r="G1039" s="25" t="s">
        <v>125</v>
      </c>
    </row>
    <row r="1040" spans="1:7">
      <c r="A1040" s="21" t="s">
        <v>1158</v>
      </c>
      <c r="B1040" s="22" t="s">
        <v>56</v>
      </c>
      <c r="C1040" s="22" t="s">
        <v>124</v>
      </c>
      <c r="D1040" s="23">
        <v>1</v>
      </c>
      <c r="E1040" s="24">
        <f>SUM($D$2:D1040)/SUM($D$2:$D$2846)</f>
        <v>0.84655904842820728</v>
      </c>
      <c r="F1040" s="22" t="s">
        <v>46</v>
      </c>
      <c r="G1040" s="25" t="s">
        <v>125</v>
      </c>
    </row>
    <row r="1041" spans="1:7">
      <c r="A1041" s="21" t="s">
        <v>1159</v>
      </c>
      <c r="B1041" s="22" t="s">
        <v>56</v>
      </c>
      <c r="C1041" s="22" t="s">
        <v>124</v>
      </c>
      <c r="D1041" s="23">
        <v>1</v>
      </c>
      <c r="E1041" s="24">
        <f>SUM($D$2:D1041)/SUM($D$2:$D$2846)</f>
        <v>0.84664401019541202</v>
      </c>
      <c r="F1041" s="22" t="s">
        <v>46</v>
      </c>
      <c r="G1041" s="25" t="s">
        <v>125</v>
      </c>
    </row>
    <row r="1042" spans="1:7">
      <c r="A1042" s="21" t="s">
        <v>1160</v>
      </c>
      <c r="B1042" s="22" t="s">
        <v>56</v>
      </c>
      <c r="C1042" s="22" t="s">
        <v>124</v>
      </c>
      <c r="D1042" s="23">
        <v>1</v>
      </c>
      <c r="E1042" s="24">
        <f>SUM($D$2:D1042)/SUM($D$2:$D$2846)</f>
        <v>0.84672897196261687</v>
      </c>
      <c r="F1042" s="22" t="s">
        <v>46</v>
      </c>
      <c r="G1042" s="25" t="s">
        <v>125</v>
      </c>
    </row>
    <row r="1043" spans="1:7">
      <c r="A1043" s="21" t="s">
        <v>1161</v>
      </c>
      <c r="B1043" s="22" t="s">
        <v>56</v>
      </c>
      <c r="C1043" s="22" t="s">
        <v>124</v>
      </c>
      <c r="D1043" s="23">
        <v>1</v>
      </c>
      <c r="E1043" s="24">
        <f>SUM($D$2:D1043)/SUM($D$2:$D$2846)</f>
        <v>0.84681393372982161</v>
      </c>
      <c r="F1043" s="22" t="s">
        <v>46</v>
      </c>
      <c r="G1043" s="25" t="s">
        <v>125</v>
      </c>
    </row>
    <row r="1044" spans="1:7">
      <c r="A1044" s="21" t="s">
        <v>1162</v>
      </c>
      <c r="B1044" s="22" t="s">
        <v>56</v>
      </c>
      <c r="C1044" s="22" t="s">
        <v>124</v>
      </c>
      <c r="D1044" s="23">
        <v>1</v>
      </c>
      <c r="E1044" s="24">
        <f>SUM($D$2:D1044)/SUM($D$2:$D$2846)</f>
        <v>0.84689889549702635</v>
      </c>
      <c r="F1044" s="22" t="s">
        <v>46</v>
      </c>
      <c r="G1044" s="25" t="s">
        <v>125</v>
      </c>
    </row>
    <row r="1045" spans="1:7">
      <c r="A1045" s="21" t="s">
        <v>1163</v>
      </c>
      <c r="B1045" s="22" t="s">
        <v>56</v>
      </c>
      <c r="C1045" s="22" t="s">
        <v>124</v>
      </c>
      <c r="D1045" s="23">
        <v>1</v>
      </c>
      <c r="E1045" s="24">
        <f>SUM($D$2:D1045)/SUM($D$2:$D$2846)</f>
        <v>0.84698385726423109</v>
      </c>
      <c r="F1045" s="22" t="s">
        <v>46</v>
      </c>
      <c r="G1045" s="25" t="s">
        <v>125</v>
      </c>
    </row>
    <row r="1046" spans="1:7">
      <c r="A1046" s="21" t="s">
        <v>1164</v>
      </c>
      <c r="B1046" s="22" t="s">
        <v>56</v>
      </c>
      <c r="C1046" s="22" t="s">
        <v>124</v>
      </c>
      <c r="D1046" s="23">
        <v>1</v>
      </c>
      <c r="E1046" s="24">
        <f>SUM($D$2:D1046)/SUM($D$2:$D$2846)</f>
        <v>0.84706881903143583</v>
      </c>
      <c r="F1046" s="22" t="s">
        <v>46</v>
      </c>
      <c r="G1046" s="25" t="s">
        <v>125</v>
      </c>
    </row>
    <row r="1047" spans="1:7">
      <c r="A1047" s="21" t="s">
        <v>1165</v>
      </c>
      <c r="B1047" s="26" t="s">
        <v>163</v>
      </c>
      <c r="C1047" s="22" t="s">
        <v>45</v>
      </c>
      <c r="D1047" s="23">
        <v>1</v>
      </c>
      <c r="E1047" s="24">
        <f>SUM($D$2:D1047)/SUM($D$2:$D$2846)</f>
        <v>0.84715378079864057</v>
      </c>
      <c r="F1047" s="22" t="s">
        <v>46</v>
      </c>
      <c r="G1047" s="25" t="s">
        <v>164</v>
      </c>
    </row>
    <row r="1048" spans="1:7">
      <c r="A1048" s="21" t="s">
        <v>1166</v>
      </c>
      <c r="B1048" s="22" t="s">
        <v>56</v>
      </c>
      <c r="C1048" s="22" t="s">
        <v>124</v>
      </c>
      <c r="D1048" s="23">
        <v>1</v>
      </c>
      <c r="E1048" s="24">
        <f>SUM($D$2:D1048)/SUM($D$2:$D$2846)</f>
        <v>0.84723874256584542</v>
      </c>
      <c r="F1048" s="22" t="s">
        <v>46</v>
      </c>
      <c r="G1048" s="25" t="s">
        <v>125</v>
      </c>
    </row>
    <row r="1049" spans="1:7">
      <c r="A1049" s="21" t="s">
        <v>1167</v>
      </c>
      <c r="B1049" s="22" t="s">
        <v>56</v>
      </c>
      <c r="C1049" s="22" t="s">
        <v>124</v>
      </c>
      <c r="D1049" s="23">
        <v>1</v>
      </c>
      <c r="E1049" s="24">
        <f>SUM($D$2:D1049)/SUM($D$2:$D$2846)</f>
        <v>0.84732370433305015</v>
      </c>
      <c r="F1049" s="22" t="s">
        <v>46</v>
      </c>
      <c r="G1049" s="25" t="s">
        <v>125</v>
      </c>
    </row>
    <row r="1050" spans="1:7">
      <c r="A1050" s="21" t="s">
        <v>1168</v>
      </c>
      <c r="B1050" s="22" t="s">
        <v>56</v>
      </c>
      <c r="C1050" s="22" t="s">
        <v>124</v>
      </c>
      <c r="D1050" s="23">
        <v>1</v>
      </c>
      <c r="E1050" s="24">
        <f>SUM($D$2:D1050)/SUM($D$2:$D$2846)</f>
        <v>0.84740866610025489</v>
      </c>
      <c r="F1050" s="22" t="s">
        <v>46</v>
      </c>
      <c r="G1050" s="25" t="s">
        <v>125</v>
      </c>
    </row>
    <row r="1051" spans="1:7">
      <c r="A1051" s="21" t="s">
        <v>1169</v>
      </c>
      <c r="B1051" s="22" t="s">
        <v>56</v>
      </c>
      <c r="C1051" s="22" t="s">
        <v>124</v>
      </c>
      <c r="D1051" s="23">
        <v>1</v>
      </c>
      <c r="E1051" s="24">
        <f>SUM($D$2:D1051)/SUM($D$2:$D$2846)</f>
        <v>0.84749362786745963</v>
      </c>
      <c r="F1051" s="22" t="s">
        <v>46</v>
      </c>
      <c r="G1051" s="25" t="s">
        <v>125</v>
      </c>
    </row>
    <row r="1052" spans="1:7">
      <c r="A1052" s="21" t="s">
        <v>1170</v>
      </c>
      <c r="B1052" s="22" t="s">
        <v>56</v>
      </c>
      <c r="C1052" s="22" t="s">
        <v>124</v>
      </c>
      <c r="D1052" s="23">
        <v>1</v>
      </c>
      <c r="E1052" s="24">
        <f>SUM($D$2:D1052)/SUM($D$2:$D$2846)</f>
        <v>0.84757858963466437</v>
      </c>
      <c r="F1052" s="22" t="s">
        <v>46</v>
      </c>
      <c r="G1052" s="25" t="s">
        <v>125</v>
      </c>
    </row>
    <row r="1053" spans="1:7">
      <c r="A1053" s="21" t="s">
        <v>1171</v>
      </c>
      <c r="B1053" s="22" t="s">
        <v>56</v>
      </c>
      <c r="C1053" s="22" t="s">
        <v>124</v>
      </c>
      <c r="D1053" s="23">
        <v>1</v>
      </c>
      <c r="E1053" s="24">
        <f>SUM($D$2:D1053)/SUM($D$2:$D$2846)</f>
        <v>0.84766355140186911</v>
      </c>
      <c r="F1053" s="22" t="s">
        <v>46</v>
      </c>
      <c r="G1053" s="25" t="s">
        <v>125</v>
      </c>
    </row>
    <row r="1054" spans="1:7">
      <c r="A1054" s="21" t="s">
        <v>1172</v>
      </c>
      <c r="B1054" s="22" t="s">
        <v>56</v>
      </c>
      <c r="C1054" s="22" t="s">
        <v>124</v>
      </c>
      <c r="D1054" s="23">
        <v>1</v>
      </c>
      <c r="E1054" s="24">
        <f>SUM($D$2:D1054)/SUM($D$2:$D$2846)</f>
        <v>0.84774851316907396</v>
      </c>
      <c r="F1054" s="22" t="s">
        <v>46</v>
      </c>
      <c r="G1054" s="25" t="s">
        <v>125</v>
      </c>
    </row>
    <row r="1055" spans="1:7">
      <c r="A1055" s="21" t="s">
        <v>1173</v>
      </c>
      <c r="B1055" s="22" t="s">
        <v>56</v>
      </c>
      <c r="C1055" s="22" t="s">
        <v>124</v>
      </c>
      <c r="D1055" s="23">
        <v>1</v>
      </c>
      <c r="E1055" s="24">
        <f>SUM($D$2:D1055)/SUM($D$2:$D$2846)</f>
        <v>0.8478334749362787</v>
      </c>
      <c r="F1055" s="22" t="s">
        <v>46</v>
      </c>
      <c r="G1055" s="25" t="s">
        <v>125</v>
      </c>
    </row>
    <row r="1056" spans="1:7">
      <c r="A1056" s="21" t="s">
        <v>1174</v>
      </c>
      <c r="B1056" s="22" t="s">
        <v>56</v>
      </c>
      <c r="C1056" s="22" t="s">
        <v>124</v>
      </c>
      <c r="D1056" s="23">
        <v>1</v>
      </c>
      <c r="E1056" s="24">
        <f>SUM($D$2:D1056)/SUM($D$2:$D$2846)</f>
        <v>0.84791843670348344</v>
      </c>
      <c r="F1056" s="22" t="s">
        <v>46</v>
      </c>
      <c r="G1056" s="25" t="s">
        <v>125</v>
      </c>
    </row>
    <row r="1057" spans="1:7">
      <c r="A1057" s="21" t="s">
        <v>1175</v>
      </c>
      <c r="B1057" s="22" t="s">
        <v>56</v>
      </c>
      <c r="C1057" s="22" t="s">
        <v>124</v>
      </c>
      <c r="D1057" s="23">
        <v>1</v>
      </c>
      <c r="E1057" s="24">
        <f>SUM($D$2:D1057)/SUM($D$2:$D$2846)</f>
        <v>0.84800339847068817</v>
      </c>
      <c r="F1057" s="22" t="s">
        <v>46</v>
      </c>
      <c r="G1057" s="25" t="s">
        <v>125</v>
      </c>
    </row>
    <row r="1058" spans="1:7">
      <c r="A1058" s="21" t="s">
        <v>1176</v>
      </c>
      <c r="B1058" s="22" t="s">
        <v>56</v>
      </c>
      <c r="C1058" s="22" t="s">
        <v>124</v>
      </c>
      <c r="D1058" s="23">
        <v>1</v>
      </c>
      <c r="E1058" s="24">
        <f>SUM($D$2:D1058)/SUM($D$2:$D$2846)</f>
        <v>0.84808836023789291</v>
      </c>
      <c r="F1058" s="22" t="s">
        <v>46</v>
      </c>
      <c r="G1058" s="25" t="s">
        <v>125</v>
      </c>
    </row>
    <row r="1059" spans="1:7">
      <c r="A1059" s="21" t="s">
        <v>72</v>
      </c>
      <c r="B1059" s="26" t="s">
        <v>129</v>
      </c>
      <c r="C1059" s="22" t="s">
        <v>73</v>
      </c>
      <c r="D1059" s="23">
        <v>1</v>
      </c>
      <c r="E1059" s="24">
        <f>SUM($D$2:D1059)/SUM($D$2:$D$2846)</f>
        <v>0.84817332200509765</v>
      </c>
      <c r="F1059" s="22" t="s">
        <v>46</v>
      </c>
      <c r="G1059" s="25" t="s">
        <v>74</v>
      </c>
    </row>
    <row r="1060" spans="1:7">
      <c r="A1060" s="21" t="s">
        <v>1177</v>
      </c>
      <c r="B1060" s="22" t="s">
        <v>56</v>
      </c>
      <c r="C1060" s="22" t="s">
        <v>124</v>
      </c>
      <c r="D1060" s="23">
        <v>1</v>
      </c>
      <c r="E1060" s="24">
        <f>SUM($D$2:D1060)/SUM($D$2:$D$2846)</f>
        <v>0.8482582837723025</v>
      </c>
      <c r="F1060" s="22" t="s">
        <v>46</v>
      </c>
      <c r="G1060" s="25" t="s">
        <v>125</v>
      </c>
    </row>
    <row r="1061" spans="1:7">
      <c r="A1061" s="21" t="s">
        <v>1178</v>
      </c>
      <c r="B1061" s="22" t="s">
        <v>56</v>
      </c>
      <c r="C1061" s="22" t="s">
        <v>124</v>
      </c>
      <c r="D1061" s="23">
        <v>1</v>
      </c>
      <c r="E1061" s="24">
        <f>SUM($D$2:D1061)/SUM($D$2:$D$2846)</f>
        <v>0.84834324553950724</v>
      </c>
      <c r="F1061" s="22" t="s">
        <v>46</v>
      </c>
      <c r="G1061" s="25" t="s">
        <v>125</v>
      </c>
    </row>
    <row r="1062" spans="1:7">
      <c r="A1062" s="21" t="s">
        <v>1179</v>
      </c>
      <c r="B1062" s="22" t="s">
        <v>56</v>
      </c>
      <c r="C1062" s="22" t="s">
        <v>124</v>
      </c>
      <c r="D1062" s="23">
        <v>1</v>
      </c>
      <c r="E1062" s="24">
        <f>SUM($D$2:D1062)/SUM($D$2:$D$2846)</f>
        <v>0.84842820730671198</v>
      </c>
      <c r="F1062" s="22" t="s">
        <v>46</v>
      </c>
      <c r="G1062" s="25" t="s">
        <v>125</v>
      </c>
    </row>
    <row r="1063" spans="1:7">
      <c r="A1063" s="21" t="s">
        <v>1180</v>
      </c>
      <c r="B1063" s="22" t="s">
        <v>56</v>
      </c>
      <c r="C1063" s="22" t="s">
        <v>124</v>
      </c>
      <c r="D1063" s="23">
        <v>1</v>
      </c>
      <c r="E1063" s="24">
        <f>SUM($D$2:D1063)/SUM($D$2:$D$2846)</f>
        <v>0.84851316907391672</v>
      </c>
      <c r="F1063" s="22" t="s">
        <v>46</v>
      </c>
      <c r="G1063" s="25" t="s">
        <v>125</v>
      </c>
    </row>
    <row r="1064" spans="1:7">
      <c r="A1064" s="21" t="s">
        <v>1181</v>
      </c>
      <c r="B1064" s="22" t="s">
        <v>56</v>
      </c>
      <c r="C1064" s="22" t="s">
        <v>124</v>
      </c>
      <c r="D1064" s="23">
        <v>1</v>
      </c>
      <c r="E1064" s="24">
        <f>SUM($D$2:D1064)/SUM($D$2:$D$2846)</f>
        <v>0.84859813084112146</v>
      </c>
      <c r="F1064" s="22" t="s">
        <v>46</v>
      </c>
      <c r="G1064" s="25" t="s">
        <v>125</v>
      </c>
    </row>
    <row r="1065" spans="1:7">
      <c r="A1065" s="21" t="s">
        <v>1182</v>
      </c>
      <c r="B1065" s="22" t="s">
        <v>56</v>
      </c>
      <c r="C1065" s="22" t="s">
        <v>124</v>
      </c>
      <c r="D1065" s="23">
        <v>1</v>
      </c>
      <c r="E1065" s="24">
        <f>SUM($D$2:D1065)/SUM($D$2:$D$2846)</f>
        <v>0.84868309260832631</v>
      </c>
      <c r="F1065" s="22" t="s">
        <v>46</v>
      </c>
      <c r="G1065" s="25" t="s">
        <v>125</v>
      </c>
    </row>
    <row r="1066" spans="1:7">
      <c r="A1066" s="21" t="s">
        <v>1183</v>
      </c>
      <c r="B1066" s="22" t="s">
        <v>56</v>
      </c>
      <c r="C1066" s="22" t="s">
        <v>124</v>
      </c>
      <c r="D1066" s="23">
        <v>1</v>
      </c>
      <c r="E1066" s="24">
        <f>SUM($D$2:D1066)/SUM($D$2:$D$2846)</f>
        <v>0.84876805437553104</v>
      </c>
      <c r="F1066" s="22" t="s">
        <v>46</v>
      </c>
      <c r="G1066" s="25" t="s">
        <v>125</v>
      </c>
    </row>
    <row r="1067" spans="1:7">
      <c r="A1067" s="21" t="s">
        <v>1184</v>
      </c>
      <c r="B1067" s="26" t="s">
        <v>163</v>
      </c>
      <c r="C1067" s="22" t="s">
        <v>45</v>
      </c>
      <c r="D1067" s="23">
        <v>1</v>
      </c>
      <c r="E1067" s="24">
        <f>SUM($D$2:D1067)/SUM($D$2:$D$2846)</f>
        <v>0.84885301614273578</v>
      </c>
      <c r="F1067" s="22" t="s">
        <v>46</v>
      </c>
      <c r="G1067" s="25" t="s">
        <v>164</v>
      </c>
    </row>
    <row r="1068" spans="1:7">
      <c r="A1068" s="21" t="s">
        <v>1185</v>
      </c>
      <c r="B1068" s="22" t="s">
        <v>56</v>
      </c>
      <c r="C1068" s="22" t="s">
        <v>124</v>
      </c>
      <c r="D1068" s="23">
        <v>1</v>
      </c>
      <c r="E1068" s="24">
        <f>SUM($D$2:D1068)/SUM($D$2:$D$2846)</f>
        <v>0.84893797790994052</v>
      </c>
      <c r="F1068" s="22" t="s">
        <v>46</v>
      </c>
      <c r="G1068" s="25" t="s">
        <v>125</v>
      </c>
    </row>
    <row r="1069" spans="1:7">
      <c r="A1069" s="21" t="s">
        <v>1186</v>
      </c>
      <c r="B1069" s="22" t="s">
        <v>56</v>
      </c>
      <c r="C1069" s="22" t="s">
        <v>124</v>
      </c>
      <c r="D1069" s="23">
        <v>1</v>
      </c>
      <c r="E1069" s="24">
        <f>SUM($D$2:D1069)/SUM($D$2:$D$2846)</f>
        <v>0.84902293967714526</v>
      </c>
      <c r="F1069" s="22" t="s">
        <v>46</v>
      </c>
      <c r="G1069" s="25" t="s">
        <v>125</v>
      </c>
    </row>
    <row r="1070" spans="1:7">
      <c r="A1070" s="21" t="s">
        <v>1187</v>
      </c>
      <c r="B1070" s="22" t="s">
        <v>56</v>
      </c>
      <c r="C1070" s="22" t="s">
        <v>124</v>
      </c>
      <c r="D1070" s="23">
        <v>1</v>
      </c>
      <c r="E1070" s="24">
        <f>SUM($D$2:D1070)/SUM($D$2:$D$2846)</f>
        <v>0.84910790144435</v>
      </c>
      <c r="F1070" s="22" t="s">
        <v>46</v>
      </c>
      <c r="G1070" s="25" t="s">
        <v>125</v>
      </c>
    </row>
    <row r="1071" spans="1:7">
      <c r="A1071" s="21" t="s">
        <v>1188</v>
      </c>
      <c r="B1071" s="22" t="s">
        <v>56</v>
      </c>
      <c r="C1071" s="22" t="s">
        <v>124</v>
      </c>
      <c r="D1071" s="23">
        <v>1</v>
      </c>
      <c r="E1071" s="24">
        <f>SUM($D$2:D1071)/SUM($D$2:$D$2846)</f>
        <v>0.84919286321155485</v>
      </c>
      <c r="F1071" s="22" t="s">
        <v>46</v>
      </c>
      <c r="G1071" s="25" t="s">
        <v>125</v>
      </c>
    </row>
    <row r="1072" spans="1:7">
      <c r="A1072" s="21" t="s">
        <v>1189</v>
      </c>
      <c r="B1072" s="22" t="s">
        <v>56</v>
      </c>
      <c r="C1072" s="22" t="s">
        <v>124</v>
      </c>
      <c r="D1072" s="23">
        <v>1</v>
      </c>
      <c r="E1072" s="24">
        <f>SUM($D$2:D1072)/SUM($D$2:$D$2846)</f>
        <v>0.84927782497875959</v>
      </c>
      <c r="F1072" s="22" t="s">
        <v>46</v>
      </c>
      <c r="G1072" s="25" t="s">
        <v>125</v>
      </c>
    </row>
    <row r="1073" spans="1:7">
      <c r="A1073" s="21" t="s">
        <v>1190</v>
      </c>
      <c r="B1073" s="22" t="s">
        <v>56</v>
      </c>
      <c r="C1073" s="22" t="s">
        <v>124</v>
      </c>
      <c r="D1073" s="23">
        <v>1</v>
      </c>
      <c r="E1073" s="24">
        <f>SUM($D$2:D1073)/SUM($D$2:$D$2846)</f>
        <v>0.84936278674596433</v>
      </c>
      <c r="F1073" s="22" t="s">
        <v>46</v>
      </c>
      <c r="G1073" s="25" t="s">
        <v>125</v>
      </c>
    </row>
    <row r="1074" spans="1:7">
      <c r="A1074" s="21" t="s">
        <v>1191</v>
      </c>
      <c r="B1074" s="26" t="s">
        <v>163</v>
      </c>
      <c r="C1074" s="22" t="s">
        <v>45</v>
      </c>
      <c r="D1074" s="23">
        <v>1</v>
      </c>
      <c r="E1074" s="24">
        <f>SUM($D$2:D1074)/SUM($D$2:$D$2846)</f>
        <v>0.84944774851316907</v>
      </c>
      <c r="F1074" s="22" t="s">
        <v>46</v>
      </c>
      <c r="G1074" s="25" t="s">
        <v>164</v>
      </c>
    </row>
    <row r="1075" spans="1:7">
      <c r="A1075" s="21" t="s">
        <v>1192</v>
      </c>
      <c r="B1075" s="22" t="s">
        <v>56</v>
      </c>
      <c r="C1075" s="22" t="s">
        <v>124</v>
      </c>
      <c r="D1075" s="23">
        <v>1</v>
      </c>
      <c r="E1075" s="24">
        <f>SUM($D$2:D1075)/SUM($D$2:$D$2846)</f>
        <v>0.8495327102803738</v>
      </c>
      <c r="F1075" s="22" t="s">
        <v>46</v>
      </c>
      <c r="G1075" s="25" t="s">
        <v>125</v>
      </c>
    </row>
    <row r="1076" spans="1:7">
      <c r="A1076" s="21" t="s">
        <v>1193</v>
      </c>
      <c r="B1076" s="22" t="s">
        <v>56</v>
      </c>
      <c r="C1076" s="22" t="s">
        <v>124</v>
      </c>
      <c r="D1076" s="23">
        <v>1</v>
      </c>
      <c r="E1076" s="24">
        <f>SUM($D$2:D1076)/SUM($D$2:$D$2846)</f>
        <v>0.84961767204757854</v>
      </c>
      <c r="F1076" s="22" t="s">
        <v>46</v>
      </c>
      <c r="G1076" s="25" t="s">
        <v>125</v>
      </c>
    </row>
    <row r="1077" spans="1:7">
      <c r="A1077" s="21" t="s">
        <v>1194</v>
      </c>
      <c r="B1077" s="22" t="s">
        <v>56</v>
      </c>
      <c r="C1077" s="22" t="s">
        <v>124</v>
      </c>
      <c r="D1077" s="23">
        <v>1</v>
      </c>
      <c r="E1077" s="24">
        <f>SUM($D$2:D1077)/SUM($D$2:$D$2846)</f>
        <v>0.84970263381478339</v>
      </c>
      <c r="F1077" s="22" t="s">
        <v>46</v>
      </c>
      <c r="G1077" s="25" t="s">
        <v>125</v>
      </c>
    </row>
    <row r="1078" spans="1:7">
      <c r="A1078" s="21" t="s">
        <v>1195</v>
      </c>
      <c r="B1078" s="22" t="s">
        <v>56</v>
      </c>
      <c r="C1078" s="22" t="s">
        <v>124</v>
      </c>
      <c r="D1078" s="23">
        <v>1</v>
      </c>
      <c r="E1078" s="24">
        <f>SUM($D$2:D1078)/SUM($D$2:$D$2846)</f>
        <v>0.84978759558198813</v>
      </c>
      <c r="F1078" s="22" t="s">
        <v>46</v>
      </c>
      <c r="G1078" s="25" t="s">
        <v>125</v>
      </c>
    </row>
    <row r="1079" spans="1:7">
      <c r="A1079" s="21" t="s">
        <v>1196</v>
      </c>
      <c r="B1079" s="22" t="s">
        <v>56</v>
      </c>
      <c r="C1079" s="22" t="s">
        <v>124</v>
      </c>
      <c r="D1079" s="23">
        <v>1</v>
      </c>
      <c r="E1079" s="24">
        <f>SUM($D$2:D1079)/SUM($D$2:$D$2846)</f>
        <v>0.84987255734919287</v>
      </c>
      <c r="F1079" s="22" t="s">
        <v>46</v>
      </c>
      <c r="G1079" s="25" t="s">
        <v>125</v>
      </c>
    </row>
    <row r="1080" spans="1:7">
      <c r="A1080" s="21" t="s">
        <v>1197</v>
      </c>
      <c r="B1080" s="22" t="s">
        <v>56</v>
      </c>
      <c r="C1080" s="22" t="s">
        <v>124</v>
      </c>
      <c r="D1080" s="23">
        <v>1</v>
      </c>
      <c r="E1080" s="24">
        <f>SUM($D$2:D1080)/SUM($D$2:$D$2846)</f>
        <v>0.84995751911639761</v>
      </c>
      <c r="F1080" s="22" t="s">
        <v>46</v>
      </c>
      <c r="G1080" s="25" t="s">
        <v>125</v>
      </c>
    </row>
    <row r="1081" spans="1:7">
      <c r="A1081" s="21" t="s">
        <v>1198</v>
      </c>
      <c r="B1081" s="22" t="s">
        <v>56</v>
      </c>
      <c r="C1081" s="22" t="s">
        <v>124</v>
      </c>
      <c r="D1081" s="23">
        <v>1</v>
      </c>
      <c r="E1081" s="24">
        <f>SUM($D$2:D1081)/SUM($D$2:$D$2846)</f>
        <v>0.85004248088360235</v>
      </c>
      <c r="F1081" s="22" t="s">
        <v>46</v>
      </c>
      <c r="G1081" s="25" t="s">
        <v>125</v>
      </c>
    </row>
    <row r="1082" spans="1:7">
      <c r="A1082" s="21" t="s">
        <v>1199</v>
      </c>
      <c r="B1082" s="22" t="s">
        <v>56</v>
      </c>
      <c r="C1082" s="22" t="s">
        <v>124</v>
      </c>
      <c r="D1082" s="23">
        <v>1</v>
      </c>
      <c r="E1082" s="24">
        <f>SUM($D$2:D1082)/SUM($D$2:$D$2846)</f>
        <v>0.85012744265080709</v>
      </c>
      <c r="F1082" s="22" t="s">
        <v>46</v>
      </c>
      <c r="G1082" s="25" t="s">
        <v>125</v>
      </c>
    </row>
    <row r="1083" spans="1:7">
      <c r="A1083" s="21" t="s">
        <v>1200</v>
      </c>
      <c r="B1083" s="22" t="s">
        <v>44</v>
      </c>
      <c r="C1083" s="22" t="s">
        <v>124</v>
      </c>
      <c r="D1083" s="23">
        <v>1</v>
      </c>
      <c r="E1083" s="24">
        <f>SUM($D$2:D1083)/SUM($D$2:$D$2846)</f>
        <v>0.85021240441801194</v>
      </c>
      <c r="F1083" s="22" t="s">
        <v>46</v>
      </c>
      <c r="G1083" s="25" t="s">
        <v>194</v>
      </c>
    </row>
    <row r="1084" spans="1:7">
      <c r="A1084" s="21" t="s">
        <v>1201</v>
      </c>
      <c r="B1084" s="22" t="s">
        <v>44</v>
      </c>
      <c r="C1084" s="22" t="s">
        <v>124</v>
      </c>
      <c r="D1084" s="23">
        <v>1</v>
      </c>
      <c r="E1084" s="24">
        <f>SUM($D$2:D1084)/SUM($D$2:$D$2846)</f>
        <v>0.85029736618521667</v>
      </c>
      <c r="F1084" s="22" t="s">
        <v>46</v>
      </c>
      <c r="G1084" s="25" t="s">
        <v>194</v>
      </c>
    </row>
    <row r="1085" spans="1:7">
      <c r="A1085" s="21" t="s">
        <v>1202</v>
      </c>
      <c r="B1085" s="22" t="s">
        <v>56</v>
      </c>
      <c r="C1085" s="22" t="s">
        <v>124</v>
      </c>
      <c r="D1085" s="23">
        <v>1</v>
      </c>
      <c r="E1085" s="24">
        <f>SUM($D$2:D1085)/SUM($D$2:$D$2846)</f>
        <v>0.85038232795242141</v>
      </c>
      <c r="F1085" s="22" t="s">
        <v>46</v>
      </c>
      <c r="G1085" s="25" t="s">
        <v>125</v>
      </c>
    </row>
    <row r="1086" spans="1:7">
      <c r="A1086" s="21" t="s">
        <v>1203</v>
      </c>
      <c r="B1086" s="22" t="s">
        <v>56</v>
      </c>
      <c r="C1086" s="22" t="s">
        <v>124</v>
      </c>
      <c r="D1086" s="23">
        <v>1</v>
      </c>
      <c r="E1086" s="24">
        <f>SUM($D$2:D1086)/SUM($D$2:$D$2846)</f>
        <v>0.85046728971962615</v>
      </c>
      <c r="F1086" s="22" t="s">
        <v>46</v>
      </c>
      <c r="G1086" s="25" t="s">
        <v>125</v>
      </c>
    </row>
    <row r="1087" spans="1:7">
      <c r="A1087" s="21" t="s">
        <v>1204</v>
      </c>
      <c r="B1087" s="22" t="s">
        <v>56</v>
      </c>
      <c r="C1087" s="22" t="s">
        <v>124</v>
      </c>
      <c r="D1087" s="23">
        <v>1</v>
      </c>
      <c r="E1087" s="24">
        <f>SUM($D$2:D1087)/SUM($D$2:$D$2846)</f>
        <v>0.85055225148683089</v>
      </c>
      <c r="F1087" s="22" t="s">
        <v>46</v>
      </c>
      <c r="G1087" s="25" t="s">
        <v>125</v>
      </c>
    </row>
    <row r="1088" spans="1:7">
      <c r="A1088" s="21" t="s">
        <v>1205</v>
      </c>
      <c r="B1088" s="22" t="s">
        <v>56</v>
      </c>
      <c r="C1088" s="22" t="s">
        <v>124</v>
      </c>
      <c r="D1088" s="23">
        <v>1</v>
      </c>
      <c r="E1088" s="24">
        <f>SUM($D$2:D1088)/SUM($D$2:$D$2846)</f>
        <v>0.85063721325403563</v>
      </c>
      <c r="F1088" s="22" t="s">
        <v>46</v>
      </c>
      <c r="G1088" s="25" t="s">
        <v>125</v>
      </c>
    </row>
    <row r="1089" spans="1:7">
      <c r="A1089" s="21" t="s">
        <v>1206</v>
      </c>
      <c r="B1089" s="22" t="s">
        <v>56</v>
      </c>
      <c r="C1089" s="22" t="s">
        <v>124</v>
      </c>
      <c r="D1089" s="23">
        <v>1</v>
      </c>
      <c r="E1089" s="24">
        <f>SUM($D$2:D1089)/SUM($D$2:$D$2846)</f>
        <v>0.85072217502124048</v>
      </c>
      <c r="F1089" s="22" t="s">
        <v>46</v>
      </c>
      <c r="G1089" s="25" t="s">
        <v>125</v>
      </c>
    </row>
    <row r="1090" spans="1:7">
      <c r="A1090" s="21" t="s">
        <v>1207</v>
      </c>
      <c r="B1090" s="22" t="s">
        <v>56</v>
      </c>
      <c r="C1090" s="22" t="s">
        <v>124</v>
      </c>
      <c r="D1090" s="23">
        <v>1</v>
      </c>
      <c r="E1090" s="24">
        <f>SUM($D$2:D1090)/SUM($D$2:$D$2846)</f>
        <v>0.85080713678844522</v>
      </c>
      <c r="F1090" s="22" t="s">
        <v>46</v>
      </c>
      <c r="G1090" s="25" t="s">
        <v>125</v>
      </c>
    </row>
    <row r="1091" spans="1:7">
      <c r="A1091" s="21" t="s">
        <v>1208</v>
      </c>
      <c r="B1091" s="22" t="s">
        <v>56</v>
      </c>
      <c r="C1091" s="22" t="s">
        <v>124</v>
      </c>
      <c r="D1091" s="23">
        <v>1</v>
      </c>
      <c r="E1091" s="24">
        <f>SUM($D$2:D1091)/SUM($D$2:$D$2846)</f>
        <v>0.85089209855564996</v>
      </c>
      <c r="F1091" s="22" t="s">
        <v>46</v>
      </c>
      <c r="G1091" s="25" t="s">
        <v>125</v>
      </c>
    </row>
    <row r="1092" spans="1:7">
      <c r="A1092" s="21" t="s">
        <v>1209</v>
      </c>
      <c r="B1092" s="22" t="s">
        <v>56</v>
      </c>
      <c r="C1092" s="22" t="s">
        <v>124</v>
      </c>
      <c r="D1092" s="23">
        <v>1</v>
      </c>
      <c r="E1092" s="24">
        <f>SUM($D$2:D1092)/SUM($D$2:$D$2846)</f>
        <v>0.85097706032285469</v>
      </c>
      <c r="F1092" s="22" t="s">
        <v>46</v>
      </c>
      <c r="G1092" s="25" t="s">
        <v>125</v>
      </c>
    </row>
    <row r="1093" spans="1:7">
      <c r="A1093" s="21" t="s">
        <v>1210</v>
      </c>
      <c r="B1093" s="22" t="s">
        <v>56</v>
      </c>
      <c r="C1093" s="22" t="s">
        <v>124</v>
      </c>
      <c r="D1093" s="23">
        <v>1</v>
      </c>
      <c r="E1093" s="24">
        <f>SUM($D$2:D1093)/SUM($D$2:$D$2846)</f>
        <v>0.85106202209005943</v>
      </c>
      <c r="F1093" s="22" t="s">
        <v>46</v>
      </c>
      <c r="G1093" s="25" t="s">
        <v>125</v>
      </c>
    </row>
    <row r="1094" spans="1:7">
      <c r="A1094" s="21" t="s">
        <v>1211</v>
      </c>
      <c r="B1094" s="22" t="s">
        <v>56</v>
      </c>
      <c r="C1094" s="22" t="s">
        <v>124</v>
      </c>
      <c r="D1094" s="23">
        <v>1</v>
      </c>
      <c r="E1094" s="24">
        <f>SUM($D$2:D1094)/SUM($D$2:$D$2846)</f>
        <v>0.85114698385726428</v>
      </c>
      <c r="F1094" s="22" t="s">
        <v>46</v>
      </c>
      <c r="G1094" s="25" t="s">
        <v>125</v>
      </c>
    </row>
    <row r="1095" spans="1:7">
      <c r="A1095" s="21" t="s">
        <v>1212</v>
      </c>
      <c r="B1095" s="22" t="s">
        <v>56</v>
      </c>
      <c r="C1095" s="22" t="s">
        <v>124</v>
      </c>
      <c r="D1095" s="23">
        <v>1</v>
      </c>
      <c r="E1095" s="24">
        <f>SUM($D$2:D1095)/SUM($D$2:$D$2846)</f>
        <v>0.85123194562446902</v>
      </c>
      <c r="F1095" s="22" t="s">
        <v>46</v>
      </c>
      <c r="G1095" s="25" t="s">
        <v>125</v>
      </c>
    </row>
    <row r="1096" spans="1:7">
      <c r="A1096" s="21" t="s">
        <v>1213</v>
      </c>
      <c r="B1096" s="22" t="s">
        <v>56</v>
      </c>
      <c r="C1096" s="22" t="s">
        <v>124</v>
      </c>
      <c r="D1096" s="23">
        <v>1</v>
      </c>
      <c r="E1096" s="24">
        <f>SUM($D$2:D1096)/SUM($D$2:$D$2846)</f>
        <v>0.85131690739167376</v>
      </c>
      <c r="F1096" s="22" t="s">
        <v>46</v>
      </c>
      <c r="G1096" s="25" t="s">
        <v>125</v>
      </c>
    </row>
    <row r="1097" spans="1:7">
      <c r="A1097" s="21" t="s">
        <v>1214</v>
      </c>
      <c r="B1097" s="22" t="s">
        <v>56</v>
      </c>
      <c r="C1097" s="22" t="s">
        <v>124</v>
      </c>
      <c r="D1097" s="23">
        <v>1</v>
      </c>
      <c r="E1097" s="24">
        <f>SUM($D$2:D1097)/SUM($D$2:$D$2846)</f>
        <v>0.8514018691588785</v>
      </c>
      <c r="F1097" s="22" t="s">
        <v>46</v>
      </c>
      <c r="G1097" s="25" t="s">
        <v>125</v>
      </c>
    </row>
    <row r="1098" spans="1:7">
      <c r="A1098" s="21" t="s">
        <v>1215</v>
      </c>
      <c r="B1098" s="22" t="s">
        <v>56</v>
      </c>
      <c r="C1098" s="22" t="s">
        <v>124</v>
      </c>
      <c r="D1098" s="23">
        <v>1</v>
      </c>
      <c r="E1098" s="24">
        <f>SUM($D$2:D1098)/SUM($D$2:$D$2846)</f>
        <v>0.85148683092608324</v>
      </c>
      <c r="F1098" s="22" t="s">
        <v>46</v>
      </c>
      <c r="G1098" s="25" t="s">
        <v>125</v>
      </c>
    </row>
    <row r="1099" spans="1:7">
      <c r="A1099" s="21" t="s">
        <v>1216</v>
      </c>
      <c r="B1099" s="22" t="s">
        <v>56</v>
      </c>
      <c r="C1099" s="22" t="s">
        <v>124</v>
      </c>
      <c r="D1099" s="23">
        <v>1</v>
      </c>
      <c r="E1099" s="24">
        <f>SUM($D$2:D1099)/SUM($D$2:$D$2846)</f>
        <v>0.85157179269328798</v>
      </c>
      <c r="F1099" s="22" t="s">
        <v>46</v>
      </c>
      <c r="G1099" s="25" t="s">
        <v>125</v>
      </c>
    </row>
    <row r="1100" spans="1:7">
      <c r="A1100" s="21" t="s">
        <v>1217</v>
      </c>
      <c r="B1100" s="22" t="s">
        <v>56</v>
      </c>
      <c r="C1100" s="22" t="s">
        <v>124</v>
      </c>
      <c r="D1100" s="23">
        <v>1</v>
      </c>
      <c r="E1100" s="24">
        <f>SUM($D$2:D1100)/SUM($D$2:$D$2846)</f>
        <v>0.85165675446049283</v>
      </c>
      <c r="F1100" s="22" t="s">
        <v>46</v>
      </c>
      <c r="G1100" s="25" t="s">
        <v>125</v>
      </c>
    </row>
    <row r="1101" spans="1:7">
      <c r="A1101" s="21" t="s">
        <v>1218</v>
      </c>
      <c r="B1101" s="22" t="s">
        <v>56</v>
      </c>
      <c r="C1101" s="22" t="s">
        <v>124</v>
      </c>
      <c r="D1101" s="23">
        <v>1</v>
      </c>
      <c r="E1101" s="24">
        <f>SUM($D$2:D1101)/SUM($D$2:$D$2846)</f>
        <v>0.85174171622769757</v>
      </c>
      <c r="F1101" s="22" t="s">
        <v>46</v>
      </c>
      <c r="G1101" s="25" t="s">
        <v>125</v>
      </c>
    </row>
    <row r="1102" spans="1:7">
      <c r="A1102" s="21" t="s">
        <v>1219</v>
      </c>
      <c r="B1102" s="22" t="s">
        <v>56</v>
      </c>
      <c r="C1102" s="22" t="s">
        <v>124</v>
      </c>
      <c r="D1102" s="23">
        <v>1</v>
      </c>
      <c r="E1102" s="24">
        <f>SUM($D$2:D1102)/SUM($D$2:$D$2846)</f>
        <v>0.8518266779949023</v>
      </c>
      <c r="F1102" s="22" t="s">
        <v>46</v>
      </c>
      <c r="G1102" s="25" t="s">
        <v>125</v>
      </c>
    </row>
    <row r="1103" spans="1:7">
      <c r="A1103" s="21" t="s">
        <v>1220</v>
      </c>
      <c r="B1103" s="22" t="s">
        <v>56</v>
      </c>
      <c r="C1103" s="22" t="s">
        <v>124</v>
      </c>
      <c r="D1103" s="23">
        <v>1</v>
      </c>
      <c r="E1103" s="24">
        <f>SUM($D$2:D1103)/SUM($D$2:$D$2846)</f>
        <v>0.85191163976210704</v>
      </c>
      <c r="F1103" s="22" t="s">
        <v>46</v>
      </c>
      <c r="G1103" s="25" t="s">
        <v>125</v>
      </c>
    </row>
    <row r="1104" spans="1:7">
      <c r="A1104" s="21" t="s">
        <v>1221</v>
      </c>
      <c r="B1104" s="22" t="s">
        <v>56</v>
      </c>
      <c r="C1104" s="22" t="s">
        <v>124</v>
      </c>
      <c r="D1104" s="23">
        <v>1</v>
      </c>
      <c r="E1104" s="24">
        <f>SUM($D$2:D1104)/SUM($D$2:$D$2846)</f>
        <v>0.85199660152931178</v>
      </c>
      <c r="F1104" s="22" t="s">
        <v>46</v>
      </c>
      <c r="G1104" s="25" t="s">
        <v>125</v>
      </c>
    </row>
    <row r="1105" spans="1:7">
      <c r="A1105" s="21" t="s">
        <v>1222</v>
      </c>
      <c r="B1105" s="22" t="s">
        <v>56</v>
      </c>
      <c r="C1105" s="22" t="s">
        <v>124</v>
      </c>
      <c r="D1105" s="23">
        <v>1</v>
      </c>
      <c r="E1105" s="24">
        <f>SUM($D$2:D1105)/SUM($D$2:$D$2846)</f>
        <v>0.85208156329651652</v>
      </c>
      <c r="F1105" s="22" t="s">
        <v>46</v>
      </c>
      <c r="G1105" s="25" t="s">
        <v>125</v>
      </c>
    </row>
    <row r="1106" spans="1:7">
      <c r="A1106" s="21" t="s">
        <v>1223</v>
      </c>
      <c r="B1106" s="22" t="s">
        <v>56</v>
      </c>
      <c r="C1106" s="22" t="s">
        <v>124</v>
      </c>
      <c r="D1106" s="23">
        <v>1</v>
      </c>
      <c r="E1106" s="24">
        <f>SUM($D$2:D1106)/SUM($D$2:$D$2846)</f>
        <v>0.85216652506372137</v>
      </c>
      <c r="F1106" s="22" t="s">
        <v>46</v>
      </c>
      <c r="G1106" s="25" t="s">
        <v>125</v>
      </c>
    </row>
    <row r="1107" spans="1:7">
      <c r="A1107" s="21" t="s">
        <v>1224</v>
      </c>
      <c r="B1107" s="22" t="s">
        <v>56</v>
      </c>
      <c r="C1107" s="22" t="s">
        <v>124</v>
      </c>
      <c r="D1107" s="23">
        <v>1</v>
      </c>
      <c r="E1107" s="24">
        <f>SUM($D$2:D1107)/SUM($D$2:$D$2846)</f>
        <v>0.85225148683092611</v>
      </c>
      <c r="F1107" s="22" t="s">
        <v>46</v>
      </c>
      <c r="G1107" s="25" t="s">
        <v>125</v>
      </c>
    </row>
    <row r="1108" spans="1:7">
      <c r="A1108" s="21" t="s">
        <v>1225</v>
      </c>
      <c r="B1108" s="22" t="s">
        <v>56</v>
      </c>
      <c r="C1108" s="22" t="s">
        <v>124</v>
      </c>
      <c r="D1108" s="23">
        <v>1</v>
      </c>
      <c r="E1108" s="24">
        <f>SUM($D$2:D1108)/SUM($D$2:$D$2846)</f>
        <v>0.85233644859813085</v>
      </c>
      <c r="F1108" s="22" t="s">
        <v>46</v>
      </c>
      <c r="G1108" s="25" t="s">
        <v>125</v>
      </c>
    </row>
    <row r="1109" spans="1:7">
      <c r="A1109" s="21" t="s">
        <v>1226</v>
      </c>
      <c r="B1109" s="22" t="s">
        <v>56</v>
      </c>
      <c r="C1109" s="22" t="s">
        <v>124</v>
      </c>
      <c r="D1109" s="23">
        <v>1</v>
      </c>
      <c r="E1109" s="24">
        <f>SUM($D$2:D1109)/SUM($D$2:$D$2846)</f>
        <v>0.85242141036533559</v>
      </c>
      <c r="F1109" s="22" t="s">
        <v>46</v>
      </c>
      <c r="G1109" s="25" t="s">
        <v>125</v>
      </c>
    </row>
    <row r="1110" spans="1:7">
      <c r="A1110" s="21" t="s">
        <v>1227</v>
      </c>
      <c r="B1110" s="22" t="s">
        <v>56</v>
      </c>
      <c r="C1110" s="22" t="s">
        <v>124</v>
      </c>
      <c r="D1110" s="23">
        <v>1</v>
      </c>
      <c r="E1110" s="24">
        <f>SUM($D$2:D1110)/SUM($D$2:$D$2846)</f>
        <v>0.85250637213254032</v>
      </c>
      <c r="F1110" s="22" t="s">
        <v>46</v>
      </c>
      <c r="G1110" s="25" t="s">
        <v>125</v>
      </c>
    </row>
    <row r="1111" spans="1:7">
      <c r="A1111" s="21" t="s">
        <v>1228</v>
      </c>
      <c r="B1111" s="22" t="s">
        <v>56</v>
      </c>
      <c r="C1111" s="22" t="s">
        <v>124</v>
      </c>
      <c r="D1111" s="23">
        <v>1</v>
      </c>
      <c r="E1111" s="24">
        <f>SUM($D$2:D1111)/SUM($D$2:$D$2846)</f>
        <v>0.85259133389974506</v>
      </c>
      <c r="F1111" s="22" t="s">
        <v>46</v>
      </c>
      <c r="G1111" s="25" t="s">
        <v>125</v>
      </c>
    </row>
    <row r="1112" spans="1:7">
      <c r="A1112" s="21" t="s">
        <v>1229</v>
      </c>
      <c r="B1112" s="22" t="s">
        <v>56</v>
      </c>
      <c r="C1112" s="22" t="s">
        <v>124</v>
      </c>
      <c r="D1112" s="23">
        <v>1</v>
      </c>
      <c r="E1112" s="24">
        <f>SUM($D$2:D1112)/SUM($D$2:$D$2846)</f>
        <v>0.85267629566694991</v>
      </c>
      <c r="F1112" s="22" t="s">
        <v>46</v>
      </c>
      <c r="G1112" s="25" t="s">
        <v>125</v>
      </c>
    </row>
    <row r="1113" spans="1:7">
      <c r="A1113" s="21" t="s">
        <v>1230</v>
      </c>
      <c r="B1113" s="26" t="s">
        <v>163</v>
      </c>
      <c r="C1113" s="22" t="s">
        <v>45</v>
      </c>
      <c r="D1113" s="23">
        <v>1</v>
      </c>
      <c r="E1113" s="24">
        <f>SUM($D$2:D1113)/SUM($D$2:$D$2846)</f>
        <v>0.85276125743415465</v>
      </c>
      <c r="F1113" s="22" t="s">
        <v>46</v>
      </c>
      <c r="G1113" s="25" t="s">
        <v>164</v>
      </c>
    </row>
    <row r="1114" spans="1:7">
      <c r="A1114" s="21" t="s">
        <v>1231</v>
      </c>
      <c r="B1114" s="22" t="s">
        <v>56</v>
      </c>
      <c r="C1114" s="22" t="s">
        <v>124</v>
      </c>
      <c r="D1114" s="23">
        <v>1</v>
      </c>
      <c r="E1114" s="24">
        <f>SUM($D$2:D1114)/SUM($D$2:$D$2846)</f>
        <v>0.85284621920135939</v>
      </c>
      <c r="F1114" s="22" t="s">
        <v>46</v>
      </c>
      <c r="G1114" s="25" t="s">
        <v>125</v>
      </c>
    </row>
    <row r="1115" spans="1:7">
      <c r="A1115" s="21" t="s">
        <v>1232</v>
      </c>
      <c r="B1115" s="22" t="s">
        <v>56</v>
      </c>
      <c r="C1115" s="22" t="s">
        <v>124</v>
      </c>
      <c r="D1115" s="23">
        <v>1</v>
      </c>
      <c r="E1115" s="24">
        <f>SUM($D$2:D1115)/SUM($D$2:$D$2846)</f>
        <v>0.85293118096856413</v>
      </c>
      <c r="F1115" s="22" t="s">
        <v>46</v>
      </c>
      <c r="G1115" s="25" t="s">
        <v>125</v>
      </c>
    </row>
    <row r="1116" spans="1:7">
      <c r="A1116" s="21" t="s">
        <v>1233</v>
      </c>
      <c r="B1116" s="22" t="s">
        <v>56</v>
      </c>
      <c r="C1116" s="22" t="s">
        <v>124</v>
      </c>
      <c r="D1116" s="23">
        <v>1</v>
      </c>
      <c r="E1116" s="24">
        <f>SUM($D$2:D1116)/SUM($D$2:$D$2846)</f>
        <v>0.85301614273576887</v>
      </c>
      <c r="F1116" s="22" t="s">
        <v>46</v>
      </c>
      <c r="G1116" s="25" t="s">
        <v>125</v>
      </c>
    </row>
    <row r="1117" spans="1:7">
      <c r="A1117" s="21" t="s">
        <v>1234</v>
      </c>
      <c r="B1117" s="22" t="s">
        <v>56</v>
      </c>
      <c r="C1117" s="22" t="s">
        <v>124</v>
      </c>
      <c r="D1117" s="23">
        <v>1</v>
      </c>
      <c r="E1117" s="24">
        <f>SUM($D$2:D1117)/SUM($D$2:$D$2846)</f>
        <v>0.85310110450297372</v>
      </c>
      <c r="F1117" s="22" t="s">
        <v>46</v>
      </c>
      <c r="G1117" s="25" t="s">
        <v>125</v>
      </c>
    </row>
    <row r="1118" spans="1:7">
      <c r="A1118" s="21" t="s">
        <v>1235</v>
      </c>
      <c r="B1118" s="22" t="s">
        <v>56</v>
      </c>
      <c r="C1118" s="22" t="s">
        <v>124</v>
      </c>
      <c r="D1118" s="23">
        <v>1</v>
      </c>
      <c r="E1118" s="24">
        <f>SUM($D$2:D1118)/SUM($D$2:$D$2846)</f>
        <v>0.85318606627017846</v>
      </c>
      <c r="F1118" s="22" t="s">
        <v>46</v>
      </c>
      <c r="G1118" s="25" t="s">
        <v>125</v>
      </c>
    </row>
    <row r="1119" spans="1:7">
      <c r="A1119" s="21" t="s">
        <v>1236</v>
      </c>
      <c r="B1119" s="22" t="s">
        <v>56</v>
      </c>
      <c r="C1119" s="22" t="s">
        <v>124</v>
      </c>
      <c r="D1119" s="23">
        <v>1</v>
      </c>
      <c r="E1119" s="24">
        <f>SUM($D$2:D1119)/SUM($D$2:$D$2846)</f>
        <v>0.85327102803738319</v>
      </c>
      <c r="F1119" s="22" t="s">
        <v>46</v>
      </c>
      <c r="G1119" s="25" t="s">
        <v>125</v>
      </c>
    </row>
    <row r="1120" spans="1:7">
      <c r="A1120" s="21" t="s">
        <v>1237</v>
      </c>
      <c r="B1120" s="22" t="s">
        <v>56</v>
      </c>
      <c r="C1120" s="22" t="s">
        <v>124</v>
      </c>
      <c r="D1120" s="23">
        <v>1</v>
      </c>
      <c r="E1120" s="24">
        <f>SUM($D$2:D1120)/SUM($D$2:$D$2846)</f>
        <v>0.85335598980458793</v>
      </c>
      <c r="F1120" s="22" t="s">
        <v>46</v>
      </c>
      <c r="G1120" s="25" t="s">
        <v>125</v>
      </c>
    </row>
    <row r="1121" spans="1:7">
      <c r="A1121" s="21" t="s">
        <v>1238</v>
      </c>
      <c r="B1121" s="22" t="s">
        <v>56</v>
      </c>
      <c r="C1121" s="22" t="s">
        <v>124</v>
      </c>
      <c r="D1121" s="23">
        <v>1</v>
      </c>
      <c r="E1121" s="24">
        <f>SUM($D$2:D1121)/SUM($D$2:$D$2846)</f>
        <v>0.85344095157179267</v>
      </c>
      <c r="F1121" s="22" t="s">
        <v>46</v>
      </c>
      <c r="G1121" s="25" t="s">
        <v>125</v>
      </c>
    </row>
    <row r="1122" spans="1:7">
      <c r="A1122" s="21" t="s">
        <v>1239</v>
      </c>
      <c r="B1122" s="22" t="s">
        <v>56</v>
      </c>
      <c r="C1122" s="22" t="s">
        <v>124</v>
      </c>
      <c r="D1122" s="23">
        <v>1</v>
      </c>
      <c r="E1122" s="24">
        <f>SUM($D$2:D1122)/SUM($D$2:$D$2846)</f>
        <v>0.85352591333899741</v>
      </c>
      <c r="F1122" s="22" t="s">
        <v>46</v>
      </c>
      <c r="G1122" s="25" t="s">
        <v>125</v>
      </c>
    </row>
    <row r="1123" spans="1:7">
      <c r="A1123" s="21" t="s">
        <v>1240</v>
      </c>
      <c r="B1123" s="22" t="s">
        <v>56</v>
      </c>
      <c r="C1123" s="22" t="s">
        <v>124</v>
      </c>
      <c r="D1123" s="23">
        <v>1</v>
      </c>
      <c r="E1123" s="24">
        <f>SUM($D$2:D1123)/SUM($D$2:$D$2846)</f>
        <v>0.85361087510620226</v>
      </c>
      <c r="F1123" s="22" t="s">
        <v>46</v>
      </c>
      <c r="G1123" s="25" t="s">
        <v>125</v>
      </c>
    </row>
    <row r="1124" spans="1:7">
      <c r="A1124" s="21" t="s">
        <v>1241</v>
      </c>
      <c r="B1124" s="22" t="s">
        <v>56</v>
      </c>
      <c r="C1124" s="22" t="s">
        <v>124</v>
      </c>
      <c r="D1124" s="23">
        <v>1</v>
      </c>
      <c r="E1124" s="24">
        <f>SUM($D$2:D1124)/SUM($D$2:$D$2846)</f>
        <v>0.853695836873407</v>
      </c>
      <c r="F1124" s="22" t="s">
        <v>46</v>
      </c>
      <c r="G1124" s="25" t="s">
        <v>125</v>
      </c>
    </row>
    <row r="1125" spans="1:7">
      <c r="A1125" s="21" t="s">
        <v>1242</v>
      </c>
      <c r="B1125" s="22" t="s">
        <v>56</v>
      </c>
      <c r="C1125" s="22" t="s">
        <v>124</v>
      </c>
      <c r="D1125" s="23">
        <v>1</v>
      </c>
      <c r="E1125" s="24">
        <f>SUM($D$2:D1125)/SUM($D$2:$D$2846)</f>
        <v>0.85378079864061174</v>
      </c>
      <c r="F1125" s="22" t="s">
        <v>46</v>
      </c>
      <c r="G1125" s="25" t="s">
        <v>125</v>
      </c>
    </row>
    <row r="1126" spans="1:7">
      <c r="A1126" s="21" t="s">
        <v>1243</v>
      </c>
      <c r="B1126" s="22" t="s">
        <v>56</v>
      </c>
      <c r="C1126" s="22" t="s">
        <v>124</v>
      </c>
      <c r="D1126" s="23">
        <v>1</v>
      </c>
      <c r="E1126" s="24">
        <f>SUM($D$2:D1126)/SUM($D$2:$D$2846)</f>
        <v>0.85386576040781648</v>
      </c>
      <c r="F1126" s="22" t="s">
        <v>46</v>
      </c>
      <c r="G1126" s="25" t="s">
        <v>125</v>
      </c>
    </row>
    <row r="1127" spans="1:7">
      <c r="A1127" s="21" t="s">
        <v>1244</v>
      </c>
      <c r="B1127" s="22" t="s">
        <v>56</v>
      </c>
      <c r="C1127" s="22" t="s">
        <v>124</v>
      </c>
      <c r="D1127" s="23">
        <v>1</v>
      </c>
      <c r="E1127" s="24">
        <f>SUM($D$2:D1127)/SUM($D$2:$D$2846)</f>
        <v>0.85395072217502122</v>
      </c>
      <c r="F1127" s="22" t="s">
        <v>46</v>
      </c>
      <c r="G1127" s="25" t="s">
        <v>125</v>
      </c>
    </row>
    <row r="1128" spans="1:7">
      <c r="A1128" s="21" t="s">
        <v>1245</v>
      </c>
      <c r="B1128" s="22" t="s">
        <v>56</v>
      </c>
      <c r="C1128" s="22" t="s">
        <v>124</v>
      </c>
      <c r="D1128" s="23">
        <v>1</v>
      </c>
      <c r="E1128" s="24">
        <f>SUM($D$2:D1128)/SUM($D$2:$D$2846)</f>
        <v>0.85403568394222595</v>
      </c>
      <c r="F1128" s="22" t="s">
        <v>46</v>
      </c>
      <c r="G1128" s="25" t="s">
        <v>125</v>
      </c>
    </row>
    <row r="1129" spans="1:7">
      <c r="A1129" s="21" t="s">
        <v>1246</v>
      </c>
      <c r="B1129" s="26" t="s">
        <v>163</v>
      </c>
      <c r="C1129" s="22" t="s">
        <v>45</v>
      </c>
      <c r="D1129" s="23">
        <v>1</v>
      </c>
      <c r="E1129" s="24">
        <f>SUM($D$2:D1129)/SUM($D$2:$D$2846)</f>
        <v>0.8541206457094308</v>
      </c>
      <c r="F1129" s="22" t="s">
        <v>46</v>
      </c>
      <c r="G1129" s="25" t="s">
        <v>164</v>
      </c>
    </row>
    <row r="1130" spans="1:7">
      <c r="A1130" s="21" t="s">
        <v>1247</v>
      </c>
      <c r="B1130" s="22" t="s">
        <v>56</v>
      </c>
      <c r="C1130" s="22" t="s">
        <v>124</v>
      </c>
      <c r="D1130" s="23">
        <v>1</v>
      </c>
      <c r="E1130" s="24">
        <f>SUM($D$2:D1130)/SUM($D$2:$D$2846)</f>
        <v>0.85420560747663554</v>
      </c>
      <c r="F1130" s="22" t="s">
        <v>46</v>
      </c>
      <c r="G1130" s="25" t="s">
        <v>125</v>
      </c>
    </row>
    <row r="1131" spans="1:7">
      <c r="A1131" s="21" t="s">
        <v>1248</v>
      </c>
      <c r="B1131" s="22" t="s">
        <v>56</v>
      </c>
      <c r="C1131" s="22" t="s">
        <v>124</v>
      </c>
      <c r="D1131" s="23">
        <v>1</v>
      </c>
      <c r="E1131" s="24">
        <f>SUM($D$2:D1131)/SUM($D$2:$D$2846)</f>
        <v>0.85429056924384028</v>
      </c>
      <c r="F1131" s="22" t="s">
        <v>46</v>
      </c>
      <c r="G1131" s="25" t="s">
        <v>125</v>
      </c>
    </row>
    <row r="1132" spans="1:7">
      <c r="A1132" s="21" t="s">
        <v>1249</v>
      </c>
      <c r="B1132" s="22" t="s">
        <v>56</v>
      </c>
      <c r="C1132" s="22" t="s">
        <v>124</v>
      </c>
      <c r="D1132" s="23">
        <v>1</v>
      </c>
      <c r="E1132" s="24">
        <f>SUM($D$2:D1132)/SUM($D$2:$D$2846)</f>
        <v>0.85437553101104502</v>
      </c>
      <c r="F1132" s="22" t="s">
        <v>46</v>
      </c>
      <c r="G1132" s="25" t="s">
        <v>125</v>
      </c>
    </row>
    <row r="1133" spans="1:7">
      <c r="A1133" s="21" t="s">
        <v>1250</v>
      </c>
      <c r="B1133" s="22" t="s">
        <v>56</v>
      </c>
      <c r="C1133" s="22" t="s">
        <v>124</v>
      </c>
      <c r="D1133" s="23">
        <v>1</v>
      </c>
      <c r="E1133" s="24">
        <f>SUM($D$2:D1133)/SUM($D$2:$D$2846)</f>
        <v>0.85446049277824976</v>
      </c>
      <c r="F1133" s="22" t="s">
        <v>46</v>
      </c>
      <c r="G1133" s="25" t="s">
        <v>125</v>
      </c>
    </row>
    <row r="1134" spans="1:7">
      <c r="A1134" s="21" t="s">
        <v>1251</v>
      </c>
      <c r="B1134" s="22" t="s">
        <v>56</v>
      </c>
      <c r="C1134" s="22" t="s">
        <v>124</v>
      </c>
      <c r="D1134" s="23">
        <v>1</v>
      </c>
      <c r="E1134" s="24">
        <f>SUM($D$2:D1134)/SUM($D$2:$D$2846)</f>
        <v>0.8545454545454545</v>
      </c>
      <c r="F1134" s="22" t="s">
        <v>46</v>
      </c>
      <c r="G1134" s="25" t="s">
        <v>125</v>
      </c>
    </row>
    <row r="1135" spans="1:7">
      <c r="A1135" s="21" t="s">
        <v>1252</v>
      </c>
      <c r="B1135" s="22" t="s">
        <v>56</v>
      </c>
      <c r="C1135" s="22" t="s">
        <v>124</v>
      </c>
      <c r="D1135" s="23">
        <v>1</v>
      </c>
      <c r="E1135" s="24">
        <f>SUM($D$2:D1135)/SUM($D$2:$D$2846)</f>
        <v>0.85463041631265935</v>
      </c>
      <c r="F1135" s="22" t="s">
        <v>46</v>
      </c>
      <c r="G1135" s="25" t="s">
        <v>125</v>
      </c>
    </row>
    <row r="1136" spans="1:7">
      <c r="A1136" s="21" t="s">
        <v>1253</v>
      </c>
      <c r="B1136" s="26" t="s">
        <v>163</v>
      </c>
      <c r="C1136" s="22" t="s">
        <v>45</v>
      </c>
      <c r="D1136" s="23">
        <v>1</v>
      </c>
      <c r="E1136" s="24">
        <f>SUM($D$2:D1136)/SUM($D$2:$D$2846)</f>
        <v>0.85471537807986409</v>
      </c>
      <c r="F1136" s="22" t="s">
        <v>46</v>
      </c>
      <c r="G1136" s="25" t="s">
        <v>164</v>
      </c>
    </row>
    <row r="1137" spans="1:7">
      <c r="A1137" s="21" t="s">
        <v>1254</v>
      </c>
      <c r="B1137" s="22" t="s">
        <v>56</v>
      </c>
      <c r="C1137" s="22" t="s">
        <v>124</v>
      </c>
      <c r="D1137" s="23">
        <v>1</v>
      </c>
      <c r="E1137" s="24">
        <f>SUM($D$2:D1137)/SUM($D$2:$D$2846)</f>
        <v>0.85480033984706882</v>
      </c>
      <c r="F1137" s="22" t="s">
        <v>46</v>
      </c>
      <c r="G1137" s="25" t="s">
        <v>125</v>
      </c>
    </row>
    <row r="1138" spans="1:7">
      <c r="A1138" s="21" t="s">
        <v>1255</v>
      </c>
      <c r="B1138" s="22" t="s">
        <v>56</v>
      </c>
      <c r="C1138" s="22" t="s">
        <v>124</v>
      </c>
      <c r="D1138" s="23">
        <v>1</v>
      </c>
      <c r="E1138" s="24">
        <f>SUM($D$2:D1138)/SUM($D$2:$D$2846)</f>
        <v>0.85488530161427356</v>
      </c>
      <c r="F1138" s="22" t="s">
        <v>46</v>
      </c>
      <c r="G1138" s="25" t="s">
        <v>125</v>
      </c>
    </row>
    <row r="1139" spans="1:7">
      <c r="A1139" s="21" t="s">
        <v>1256</v>
      </c>
      <c r="B1139" s="22" t="s">
        <v>56</v>
      </c>
      <c r="C1139" s="22" t="s">
        <v>124</v>
      </c>
      <c r="D1139" s="23">
        <v>1</v>
      </c>
      <c r="E1139" s="24">
        <f>SUM($D$2:D1139)/SUM($D$2:$D$2846)</f>
        <v>0.8549702633814783</v>
      </c>
      <c r="F1139" s="22" t="s">
        <v>46</v>
      </c>
      <c r="G1139" s="25" t="s">
        <v>125</v>
      </c>
    </row>
    <row r="1140" spans="1:7">
      <c r="A1140" s="21" t="s">
        <v>1257</v>
      </c>
      <c r="B1140" s="26" t="s">
        <v>163</v>
      </c>
      <c r="C1140" s="22" t="s">
        <v>45</v>
      </c>
      <c r="D1140" s="23">
        <v>1</v>
      </c>
      <c r="E1140" s="24">
        <f>SUM($D$2:D1140)/SUM($D$2:$D$2846)</f>
        <v>0.85505522514868304</v>
      </c>
      <c r="F1140" s="22" t="s">
        <v>46</v>
      </c>
      <c r="G1140" s="25" t="s">
        <v>164</v>
      </c>
    </row>
    <row r="1141" spans="1:7">
      <c r="A1141" s="21" t="s">
        <v>1258</v>
      </c>
      <c r="B1141" s="22" t="s">
        <v>56</v>
      </c>
      <c r="C1141" s="22" t="s">
        <v>124</v>
      </c>
      <c r="D1141" s="23">
        <v>1</v>
      </c>
      <c r="E1141" s="24">
        <f>SUM($D$2:D1141)/SUM($D$2:$D$2846)</f>
        <v>0.85514018691588789</v>
      </c>
      <c r="F1141" s="22" t="s">
        <v>46</v>
      </c>
      <c r="G1141" s="25" t="s">
        <v>125</v>
      </c>
    </row>
    <row r="1142" spans="1:7">
      <c r="A1142" s="21" t="s">
        <v>1259</v>
      </c>
      <c r="B1142" s="22" t="s">
        <v>56</v>
      </c>
      <c r="C1142" s="22" t="s">
        <v>124</v>
      </c>
      <c r="D1142" s="23">
        <v>1</v>
      </c>
      <c r="E1142" s="24">
        <f>SUM($D$2:D1142)/SUM($D$2:$D$2846)</f>
        <v>0.85522514868309263</v>
      </c>
      <c r="F1142" s="22" t="s">
        <v>46</v>
      </c>
      <c r="G1142" s="25" t="s">
        <v>125</v>
      </c>
    </row>
    <row r="1143" spans="1:7">
      <c r="A1143" s="21" t="s">
        <v>1260</v>
      </c>
      <c r="B1143" s="22" t="s">
        <v>56</v>
      </c>
      <c r="C1143" s="22" t="s">
        <v>124</v>
      </c>
      <c r="D1143" s="23">
        <v>1</v>
      </c>
      <c r="E1143" s="24">
        <f>SUM($D$2:D1143)/SUM($D$2:$D$2846)</f>
        <v>0.85531011045029737</v>
      </c>
      <c r="F1143" s="22" t="s">
        <v>46</v>
      </c>
      <c r="G1143" s="25" t="s">
        <v>125</v>
      </c>
    </row>
    <row r="1144" spans="1:7">
      <c r="A1144" s="21" t="s">
        <v>1261</v>
      </c>
      <c r="B1144" s="22" t="s">
        <v>56</v>
      </c>
      <c r="C1144" s="22" t="s">
        <v>124</v>
      </c>
      <c r="D1144" s="23">
        <v>1</v>
      </c>
      <c r="E1144" s="24">
        <f>SUM($D$2:D1144)/SUM($D$2:$D$2846)</f>
        <v>0.85539507221750211</v>
      </c>
      <c r="F1144" s="22" t="s">
        <v>46</v>
      </c>
      <c r="G1144" s="25" t="s">
        <v>125</v>
      </c>
    </row>
    <row r="1145" spans="1:7">
      <c r="A1145" s="21" t="s">
        <v>1262</v>
      </c>
      <c r="B1145" s="22" t="s">
        <v>56</v>
      </c>
      <c r="C1145" s="22" t="s">
        <v>124</v>
      </c>
      <c r="D1145" s="23">
        <v>1</v>
      </c>
      <c r="E1145" s="24">
        <f>SUM($D$2:D1145)/SUM($D$2:$D$2846)</f>
        <v>0.85548003398470684</v>
      </c>
      <c r="F1145" s="22" t="s">
        <v>46</v>
      </c>
      <c r="G1145" s="25" t="s">
        <v>125</v>
      </c>
    </row>
    <row r="1146" spans="1:7">
      <c r="A1146" s="21" t="s">
        <v>1263</v>
      </c>
      <c r="B1146" s="22" t="s">
        <v>56</v>
      </c>
      <c r="C1146" s="22" t="s">
        <v>124</v>
      </c>
      <c r="D1146" s="23">
        <v>1</v>
      </c>
      <c r="E1146" s="24">
        <f>SUM($D$2:D1146)/SUM($D$2:$D$2846)</f>
        <v>0.85556499575191169</v>
      </c>
      <c r="F1146" s="22" t="s">
        <v>46</v>
      </c>
      <c r="G1146" s="25" t="s">
        <v>125</v>
      </c>
    </row>
    <row r="1147" spans="1:7">
      <c r="A1147" s="21" t="s">
        <v>1264</v>
      </c>
      <c r="B1147" s="22" t="s">
        <v>56</v>
      </c>
      <c r="C1147" s="22" t="s">
        <v>124</v>
      </c>
      <c r="D1147" s="23">
        <v>1</v>
      </c>
      <c r="E1147" s="24">
        <f>SUM($D$2:D1147)/SUM($D$2:$D$2846)</f>
        <v>0.85564995751911643</v>
      </c>
      <c r="F1147" s="22" t="s">
        <v>46</v>
      </c>
      <c r="G1147" s="25" t="s">
        <v>125</v>
      </c>
    </row>
    <row r="1148" spans="1:7">
      <c r="A1148" s="21" t="s">
        <v>75</v>
      </c>
      <c r="B1148" s="26" t="s">
        <v>56</v>
      </c>
      <c r="C1148" s="22" t="s">
        <v>45</v>
      </c>
      <c r="D1148" s="23">
        <v>1</v>
      </c>
      <c r="E1148" s="24">
        <f>SUM($D$2:D1148)/SUM($D$2:$D$2846)</f>
        <v>0.85573491928632117</v>
      </c>
      <c r="F1148" s="22" t="s">
        <v>46</v>
      </c>
      <c r="G1148" s="25" t="s">
        <v>47</v>
      </c>
    </row>
    <row r="1149" spans="1:7">
      <c r="A1149" s="21" t="s">
        <v>1265</v>
      </c>
      <c r="B1149" s="22" t="s">
        <v>56</v>
      </c>
      <c r="C1149" s="22" t="s">
        <v>124</v>
      </c>
      <c r="D1149" s="23">
        <v>1</v>
      </c>
      <c r="E1149" s="24">
        <f>SUM($D$2:D1149)/SUM($D$2:$D$2846)</f>
        <v>0.85581988105352591</v>
      </c>
      <c r="F1149" s="22" t="s">
        <v>46</v>
      </c>
      <c r="G1149" s="25" t="s">
        <v>125</v>
      </c>
    </row>
    <row r="1150" spans="1:7">
      <c r="A1150" s="21" t="s">
        <v>1266</v>
      </c>
      <c r="B1150" s="22" t="s">
        <v>56</v>
      </c>
      <c r="C1150" s="22" t="s">
        <v>124</v>
      </c>
      <c r="D1150" s="23">
        <v>1</v>
      </c>
      <c r="E1150" s="24">
        <f>SUM($D$2:D1150)/SUM($D$2:$D$2846)</f>
        <v>0.85590484282073065</v>
      </c>
      <c r="F1150" s="22" t="s">
        <v>46</v>
      </c>
      <c r="G1150" s="25" t="s">
        <v>125</v>
      </c>
    </row>
    <row r="1151" spans="1:7">
      <c r="A1151" s="21" t="s">
        <v>1267</v>
      </c>
      <c r="B1151" s="22" t="s">
        <v>56</v>
      </c>
      <c r="C1151" s="22" t="s">
        <v>124</v>
      </c>
      <c r="D1151" s="23">
        <v>1</v>
      </c>
      <c r="E1151" s="24">
        <f>SUM($D$2:D1151)/SUM($D$2:$D$2846)</f>
        <v>0.85598980458793539</v>
      </c>
      <c r="F1151" s="22" t="s">
        <v>46</v>
      </c>
      <c r="G1151" s="25" t="s">
        <v>125</v>
      </c>
    </row>
    <row r="1152" spans="1:7">
      <c r="A1152" s="21" t="s">
        <v>1268</v>
      </c>
      <c r="B1152" s="22" t="s">
        <v>44</v>
      </c>
      <c r="C1152" s="22" t="s">
        <v>124</v>
      </c>
      <c r="D1152" s="23">
        <v>1</v>
      </c>
      <c r="E1152" s="24">
        <f>SUM($D$2:D1152)/SUM($D$2:$D$2846)</f>
        <v>0.85607476635514024</v>
      </c>
      <c r="F1152" s="22" t="s">
        <v>46</v>
      </c>
      <c r="G1152" s="25" t="s">
        <v>194</v>
      </c>
    </row>
    <row r="1153" spans="1:7">
      <c r="A1153" s="21" t="s">
        <v>1269</v>
      </c>
      <c r="B1153" s="22" t="s">
        <v>44</v>
      </c>
      <c r="C1153" s="22" t="s">
        <v>124</v>
      </c>
      <c r="D1153" s="23">
        <v>1</v>
      </c>
      <c r="E1153" s="24">
        <f>SUM($D$2:D1153)/SUM($D$2:$D$2846)</f>
        <v>0.85615972812234498</v>
      </c>
      <c r="F1153" s="22" t="s">
        <v>46</v>
      </c>
      <c r="G1153" s="25" t="s">
        <v>194</v>
      </c>
    </row>
    <row r="1154" spans="1:7">
      <c r="A1154" s="21" t="s">
        <v>1270</v>
      </c>
      <c r="B1154" s="22" t="s">
        <v>44</v>
      </c>
      <c r="C1154" s="22" t="s">
        <v>124</v>
      </c>
      <c r="D1154" s="23">
        <v>1</v>
      </c>
      <c r="E1154" s="24">
        <f>SUM($D$2:D1154)/SUM($D$2:$D$2846)</f>
        <v>0.85624468988954971</v>
      </c>
      <c r="F1154" s="22" t="s">
        <v>46</v>
      </c>
      <c r="G1154" s="25" t="s">
        <v>194</v>
      </c>
    </row>
    <row r="1155" spans="1:7">
      <c r="A1155" s="21" t="s">
        <v>1271</v>
      </c>
      <c r="B1155" s="22" t="s">
        <v>56</v>
      </c>
      <c r="C1155" s="22" t="s">
        <v>124</v>
      </c>
      <c r="D1155" s="23">
        <v>1</v>
      </c>
      <c r="E1155" s="24">
        <f>SUM($D$2:D1155)/SUM($D$2:$D$2846)</f>
        <v>0.85632965165675445</v>
      </c>
      <c r="F1155" s="22" t="s">
        <v>46</v>
      </c>
      <c r="G1155" s="25" t="s">
        <v>125</v>
      </c>
    </row>
    <row r="1156" spans="1:7">
      <c r="A1156" s="21" t="s">
        <v>76</v>
      </c>
      <c r="B1156" s="26" t="s">
        <v>44</v>
      </c>
      <c r="C1156" s="22" t="s">
        <v>45</v>
      </c>
      <c r="D1156" s="23">
        <v>1</v>
      </c>
      <c r="E1156" s="24">
        <f>SUM($D$2:D1156)/SUM($D$2:$D$2846)</f>
        <v>0.85641461342395919</v>
      </c>
      <c r="F1156" s="22" t="s">
        <v>46</v>
      </c>
      <c r="G1156" s="25" t="s">
        <v>57</v>
      </c>
    </row>
    <row r="1157" spans="1:7">
      <c r="A1157" s="21" t="s">
        <v>1272</v>
      </c>
      <c r="B1157" s="22" t="s">
        <v>56</v>
      </c>
      <c r="C1157" s="22" t="s">
        <v>124</v>
      </c>
      <c r="D1157" s="23">
        <v>1</v>
      </c>
      <c r="E1157" s="24">
        <f>SUM($D$2:D1157)/SUM($D$2:$D$2846)</f>
        <v>0.85649957519116393</v>
      </c>
      <c r="F1157" s="22" t="s">
        <v>46</v>
      </c>
      <c r="G1157" s="25" t="s">
        <v>125</v>
      </c>
    </row>
    <row r="1158" spans="1:7">
      <c r="A1158" s="21" t="s">
        <v>1273</v>
      </c>
      <c r="B1158" s="22" t="s">
        <v>56</v>
      </c>
      <c r="C1158" s="22" t="s">
        <v>124</v>
      </c>
      <c r="D1158" s="23">
        <v>1</v>
      </c>
      <c r="E1158" s="24">
        <f>SUM($D$2:D1158)/SUM($D$2:$D$2846)</f>
        <v>0.85658453695836878</v>
      </c>
      <c r="F1158" s="22" t="s">
        <v>46</v>
      </c>
      <c r="G1158" s="25" t="s">
        <v>125</v>
      </c>
    </row>
    <row r="1159" spans="1:7">
      <c r="A1159" s="21" t="s">
        <v>1274</v>
      </c>
      <c r="B1159" s="26" t="s">
        <v>163</v>
      </c>
      <c r="C1159" s="22" t="s">
        <v>45</v>
      </c>
      <c r="D1159" s="23">
        <v>1</v>
      </c>
      <c r="E1159" s="24">
        <f>SUM($D$2:D1159)/SUM($D$2:$D$2846)</f>
        <v>0.85666949872557352</v>
      </c>
      <c r="F1159" s="22" t="s">
        <v>46</v>
      </c>
      <c r="G1159" s="25" t="s">
        <v>164</v>
      </c>
    </row>
    <row r="1160" spans="1:7">
      <c r="A1160" s="21" t="s">
        <v>1275</v>
      </c>
      <c r="B1160" s="26" t="s">
        <v>163</v>
      </c>
      <c r="C1160" s="22" t="s">
        <v>45</v>
      </c>
      <c r="D1160" s="23">
        <v>1</v>
      </c>
      <c r="E1160" s="24">
        <f>SUM($D$2:D1160)/SUM($D$2:$D$2846)</f>
        <v>0.85675446049277826</v>
      </c>
      <c r="F1160" s="22" t="s">
        <v>46</v>
      </c>
      <c r="G1160" s="25" t="s">
        <v>164</v>
      </c>
    </row>
    <row r="1161" spans="1:7">
      <c r="A1161" s="21" t="s">
        <v>1276</v>
      </c>
      <c r="B1161" s="22" t="s">
        <v>56</v>
      </c>
      <c r="C1161" s="22" t="s">
        <v>124</v>
      </c>
      <c r="D1161" s="23">
        <v>1</v>
      </c>
      <c r="E1161" s="24">
        <f>SUM($D$2:D1161)/SUM($D$2:$D$2846)</f>
        <v>0.856839422259983</v>
      </c>
      <c r="F1161" s="22" t="s">
        <v>46</v>
      </c>
      <c r="G1161" s="25" t="s">
        <v>125</v>
      </c>
    </row>
    <row r="1162" spans="1:7">
      <c r="A1162" s="21" t="s">
        <v>1277</v>
      </c>
      <c r="B1162" s="26" t="s">
        <v>163</v>
      </c>
      <c r="C1162" s="22" t="s">
        <v>45</v>
      </c>
      <c r="D1162" s="23">
        <v>1</v>
      </c>
      <c r="E1162" s="24">
        <f>SUM($D$2:D1162)/SUM($D$2:$D$2846)</f>
        <v>0.85692438402718774</v>
      </c>
      <c r="F1162" s="22" t="s">
        <v>46</v>
      </c>
      <c r="G1162" s="25" t="s">
        <v>164</v>
      </c>
    </row>
    <row r="1163" spans="1:7">
      <c r="A1163" s="21" t="s">
        <v>1278</v>
      </c>
      <c r="B1163" s="22" t="s">
        <v>56</v>
      </c>
      <c r="C1163" s="22" t="s">
        <v>124</v>
      </c>
      <c r="D1163" s="23">
        <v>1</v>
      </c>
      <c r="E1163" s="24">
        <f>SUM($D$2:D1163)/SUM($D$2:$D$2846)</f>
        <v>0.85700934579439247</v>
      </c>
      <c r="F1163" s="22" t="s">
        <v>46</v>
      </c>
      <c r="G1163" s="25" t="s">
        <v>125</v>
      </c>
    </row>
    <row r="1164" spans="1:7">
      <c r="A1164" s="21" t="s">
        <v>77</v>
      </c>
      <c r="B1164" s="26" t="s">
        <v>44</v>
      </c>
      <c r="C1164" s="22" t="s">
        <v>45</v>
      </c>
      <c r="D1164" s="23">
        <v>1</v>
      </c>
      <c r="E1164" s="24">
        <f>SUM($D$2:D1164)/SUM($D$2:$D$2846)</f>
        <v>0.85709430756159732</v>
      </c>
      <c r="F1164" s="22" t="s">
        <v>46</v>
      </c>
      <c r="G1164" s="25" t="s">
        <v>47</v>
      </c>
    </row>
    <row r="1165" spans="1:7">
      <c r="A1165" s="21" t="s">
        <v>1279</v>
      </c>
      <c r="B1165" s="22" t="s">
        <v>56</v>
      </c>
      <c r="C1165" s="22" t="s">
        <v>124</v>
      </c>
      <c r="D1165" s="23">
        <v>1</v>
      </c>
      <c r="E1165" s="24">
        <f>SUM($D$2:D1165)/SUM($D$2:$D$2846)</f>
        <v>0.85717926932880206</v>
      </c>
      <c r="F1165" s="22" t="s">
        <v>46</v>
      </c>
      <c r="G1165" s="25" t="s">
        <v>125</v>
      </c>
    </row>
    <row r="1166" spans="1:7">
      <c r="A1166" s="21" t="s">
        <v>78</v>
      </c>
      <c r="B1166" s="26" t="s">
        <v>44</v>
      </c>
      <c r="C1166" s="22" t="s">
        <v>45</v>
      </c>
      <c r="D1166" s="23">
        <v>1</v>
      </c>
      <c r="E1166" s="24">
        <f>SUM($D$2:D1166)/SUM($D$2:$D$2846)</f>
        <v>0.8572642310960068</v>
      </c>
      <c r="F1166" s="22" t="s">
        <v>46</v>
      </c>
      <c r="G1166" s="25" t="s">
        <v>57</v>
      </c>
    </row>
    <row r="1167" spans="1:7">
      <c r="A1167" s="21" t="s">
        <v>79</v>
      </c>
      <c r="B1167" s="26" t="s">
        <v>44</v>
      </c>
      <c r="C1167" s="22" t="s">
        <v>45</v>
      </c>
      <c r="D1167" s="23">
        <v>1</v>
      </c>
      <c r="E1167" s="24">
        <f>SUM($D$2:D1167)/SUM($D$2:$D$2846)</f>
        <v>0.85734919286321154</v>
      </c>
      <c r="F1167" s="22" t="s">
        <v>46</v>
      </c>
      <c r="G1167" s="25" t="s">
        <v>47</v>
      </c>
    </row>
    <row r="1168" spans="1:7">
      <c r="A1168" s="21" t="s">
        <v>80</v>
      </c>
      <c r="B1168" s="26" t="s">
        <v>44</v>
      </c>
      <c r="C1168" s="22" t="s">
        <v>45</v>
      </c>
      <c r="D1168" s="23">
        <v>1</v>
      </c>
      <c r="E1168" s="24">
        <f>SUM($D$2:D1168)/SUM($D$2:$D$2846)</f>
        <v>0.85743415463041628</v>
      </c>
      <c r="F1168" s="22" t="s">
        <v>46</v>
      </c>
      <c r="G1168" s="25" t="s">
        <v>57</v>
      </c>
    </row>
    <row r="1169" spans="1:7">
      <c r="A1169" s="21" t="s">
        <v>81</v>
      </c>
      <c r="B1169" s="26" t="s">
        <v>44</v>
      </c>
      <c r="C1169" s="22" t="s">
        <v>45</v>
      </c>
      <c r="D1169" s="23">
        <v>1</v>
      </c>
      <c r="E1169" s="24">
        <f>SUM($D$2:D1169)/SUM($D$2:$D$2846)</f>
        <v>0.85751911639762102</v>
      </c>
      <c r="F1169" s="22" t="s">
        <v>46</v>
      </c>
      <c r="G1169" s="25" t="s">
        <v>47</v>
      </c>
    </row>
    <row r="1170" spans="1:7">
      <c r="A1170" s="21" t="s">
        <v>82</v>
      </c>
      <c r="B1170" s="26" t="s">
        <v>44</v>
      </c>
      <c r="C1170" s="22" t="s">
        <v>45</v>
      </c>
      <c r="D1170" s="23">
        <v>1</v>
      </c>
      <c r="E1170" s="24">
        <f>SUM($D$2:D1170)/SUM($D$2:$D$2846)</f>
        <v>0.85760407816482587</v>
      </c>
      <c r="F1170" s="22" t="s">
        <v>46</v>
      </c>
      <c r="G1170" s="25" t="s">
        <v>47</v>
      </c>
    </row>
    <row r="1171" spans="1:7">
      <c r="A1171" s="21" t="s">
        <v>83</v>
      </c>
      <c r="B1171" s="26" t="s">
        <v>44</v>
      </c>
      <c r="C1171" s="22" t="s">
        <v>45</v>
      </c>
      <c r="D1171" s="23">
        <v>1</v>
      </c>
      <c r="E1171" s="24">
        <f>SUM($D$2:D1171)/SUM($D$2:$D$2846)</f>
        <v>0.85768903993203061</v>
      </c>
      <c r="F1171" s="22" t="s">
        <v>46</v>
      </c>
      <c r="G1171" s="25" t="s">
        <v>47</v>
      </c>
    </row>
    <row r="1172" spans="1:7">
      <c r="A1172" s="21" t="s">
        <v>84</v>
      </c>
      <c r="B1172" s="26" t="s">
        <v>44</v>
      </c>
      <c r="C1172" s="22" t="s">
        <v>45</v>
      </c>
      <c r="D1172" s="23">
        <v>1</v>
      </c>
      <c r="E1172" s="24">
        <f>SUM($D$2:D1172)/SUM($D$2:$D$2846)</f>
        <v>0.85777400169923534</v>
      </c>
      <c r="F1172" s="22" t="s">
        <v>46</v>
      </c>
      <c r="G1172" s="25" t="s">
        <v>47</v>
      </c>
    </row>
    <row r="1173" spans="1:7">
      <c r="A1173" s="21" t="s">
        <v>1280</v>
      </c>
      <c r="B1173" s="22" t="s">
        <v>56</v>
      </c>
      <c r="C1173" s="22" t="s">
        <v>124</v>
      </c>
      <c r="D1173" s="23">
        <v>1</v>
      </c>
      <c r="E1173" s="24">
        <f>SUM($D$2:D1173)/SUM($D$2:$D$2846)</f>
        <v>0.85785896346644008</v>
      </c>
      <c r="F1173" s="22" t="s">
        <v>46</v>
      </c>
      <c r="G1173" s="25" t="s">
        <v>125</v>
      </c>
    </row>
    <row r="1174" spans="1:7">
      <c r="A1174" s="21" t="s">
        <v>1281</v>
      </c>
      <c r="B1174" s="22" t="s">
        <v>56</v>
      </c>
      <c r="C1174" s="22" t="s">
        <v>124</v>
      </c>
      <c r="D1174" s="23">
        <v>1</v>
      </c>
      <c r="E1174" s="24">
        <f>SUM($D$2:D1174)/SUM($D$2:$D$2846)</f>
        <v>0.85794392523364482</v>
      </c>
      <c r="F1174" s="22" t="s">
        <v>46</v>
      </c>
      <c r="G1174" s="25" t="s">
        <v>125</v>
      </c>
    </row>
    <row r="1175" spans="1:7">
      <c r="A1175" s="21" t="s">
        <v>1282</v>
      </c>
      <c r="B1175" s="22" t="s">
        <v>56</v>
      </c>
      <c r="C1175" s="22" t="s">
        <v>124</v>
      </c>
      <c r="D1175" s="23">
        <v>1</v>
      </c>
      <c r="E1175" s="24">
        <f>SUM($D$2:D1175)/SUM($D$2:$D$2846)</f>
        <v>0.85802888700084967</v>
      </c>
      <c r="F1175" s="22" t="s">
        <v>46</v>
      </c>
      <c r="G1175" s="25" t="s">
        <v>125</v>
      </c>
    </row>
    <row r="1176" spans="1:7">
      <c r="A1176" s="21" t="s">
        <v>1283</v>
      </c>
      <c r="B1176" s="22" t="s">
        <v>56</v>
      </c>
      <c r="C1176" s="22" t="s">
        <v>124</v>
      </c>
      <c r="D1176" s="23">
        <v>1</v>
      </c>
      <c r="E1176" s="24">
        <f>SUM($D$2:D1176)/SUM($D$2:$D$2846)</f>
        <v>0.85811384876805441</v>
      </c>
      <c r="F1176" s="22" t="s">
        <v>46</v>
      </c>
      <c r="G1176" s="25" t="s">
        <v>125</v>
      </c>
    </row>
    <row r="1177" spans="1:7">
      <c r="A1177" s="21" t="s">
        <v>1284</v>
      </c>
      <c r="B1177" s="22" t="s">
        <v>56</v>
      </c>
      <c r="C1177" s="22" t="s">
        <v>124</v>
      </c>
      <c r="D1177" s="23">
        <v>1</v>
      </c>
      <c r="E1177" s="24">
        <f>SUM($D$2:D1177)/SUM($D$2:$D$2846)</f>
        <v>0.85819881053525915</v>
      </c>
      <c r="F1177" s="22" t="s">
        <v>46</v>
      </c>
      <c r="G1177" s="25" t="s">
        <v>125</v>
      </c>
    </row>
    <row r="1178" spans="1:7">
      <c r="A1178" s="21" t="s">
        <v>1285</v>
      </c>
      <c r="B1178" s="22" t="s">
        <v>56</v>
      </c>
      <c r="C1178" s="22" t="s">
        <v>124</v>
      </c>
      <c r="D1178" s="23">
        <v>1</v>
      </c>
      <c r="E1178" s="24">
        <f>SUM($D$2:D1178)/SUM($D$2:$D$2846)</f>
        <v>0.85828377230246389</v>
      </c>
      <c r="F1178" s="22" t="s">
        <v>46</v>
      </c>
      <c r="G1178" s="25" t="s">
        <v>125</v>
      </c>
    </row>
    <row r="1179" spans="1:7">
      <c r="A1179" s="21" t="s">
        <v>1286</v>
      </c>
      <c r="B1179" s="22" t="s">
        <v>56</v>
      </c>
      <c r="C1179" s="22" t="s">
        <v>124</v>
      </c>
      <c r="D1179" s="23">
        <v>1</v>
      </c>
      <c r="E1179" s="24">
        <f>SUM($D$2:D1179)/SUM($D$2:$D$2846)</f>
        <v>0.85836873406966863</v>
      </c>
      <c r="F1179" s="22" t="s">
        <v>46</v>
      </c>
      <c r="G1179" s="25" t="s">
        <v>125</v>
      </c>
    </row>
    <row r="1180" spans="1:7">
      <c r="A1180" s="21" t="s">
        <v>1287</v>
      </c>
      <c r="B1180" s="22" t="s">
        <v>56</v>
      </c>
      <c r="C1180" s="22" t="s">
        <v>124</v>
      </c>
      <c r="D1180" s="23">
        <v>1</v>
      </c>
      <c r="E1180" s="24">
        <f>SUM($D$2:D1180)/SUM($D$2:$D$2846)</f>
        <v>0.85845369583687337</v>
      </c>
      <c r="F1180" s="22" t="s">
        <v>46</v>
      </c>
      <c r="G1180" s="25" t="s">
        <v>125</v>
      </c>
    </row>
    <row r="1181" spans="1:7">
      <c r="A1181" s="21" t="s">
        <v>1288</v>
      </c>
      <c r="B1181" s="22" t="s">
        <v>129</v>
      </c>
      <c r="C1181" s="22" t="s">
        <v>124</v>
      </c>
      <c r="D1181" s="23">
        <v>1</v>
      </c>
      <c r="E1181" s="24">
        <f>SUM($D$2:D1181)/SUM($D$2:$D$2846)</f>
        <v>0.85853865760407821</v>
      </c>
      <c r="F1181" s="22" t="s">
        <v>46</v>
      </c>
      <c r="G1181" s="25" t="s">
        <v>130</v>
      </c>
    </row>
    <row r="1182" spans="1:7">
      <c r="A1182" s="21" t="s">
        <v>1289</v>
      </c>
      <c r="B1182" s="22" t="s">
        <v>44</v>
      </c>
      <c r="C1182" s="22" t="s">
        <v>124</v>
      </c>
      <c r="D1182" s="23">
        <v>1</v>
      </c>
      <c r="E1182" s="24">
        <f>SUM($D$2:D1182)/SUM($D$2:$D$2846)</f>
        <v>0.85862361937128295</v>
      </c>
      <c r="F1182" s="22" t="s">
        <v>46</v>
      </c>
      <c r="G1182" s="25" t="s">
        <v>194</v>
      </c>
    </row>
    <row r="1183" spans="1:7">
      <c r="A1183" s="21" t="s">
        <v>85</v>
      </c>
      <c r="B1183" s="26" t="s">
        <v>44</v>
      </c>
      <c r="C1183" s="22" t="s">
        <v>45</v>
      </c>
      <c r="D1183" s="23">
        <v>1</v>
      </c>
      <c r="E1183" s="24">
        <f>SUM($D$2:D1183)/SUM($D$2:$D$2846)</f>
        <v>0.85870858113848769</v>
      </c>
      <c r="F1183" s="22" t="s">
        <v>46</v>
      </c>
      <c r="G1183" s="25" t="s">
        <v>47</v>
      </c>
    </row>
    <row r="1184" spans="1:7">
      <c r="A1184" s="21" t="s">
        <v>1290</v>
      </c>
      <c r="B1184" s="22" t="s">
        <v>56</v>
      </c>
      <c r="C1184" s="22" t="s">
        <v>124</v>
      </c>
      <c r="D1184" s="23">
        <v>1</v>
      </c>
      <c r="E1184" s="24">
        <f>SUM($D$2:D1184)/SUM($D$2:$D$2846)</f>
        <v>0.85879354290569243</v>
      </c>
      <c r="F1184" s="22" t="s">
        <v>46</v>
      </c>
      <c r="G1184" s="25" t="s">
        <v>125</v>
      </c>
    </row>
    <row r="1185" spans="1:7">
      <c r="A1185" s="21" t="s">
        <v>1291</v>
      </c>
      <c r="B1185" s="22" t="s">
        <v>56</v>
      </c>
      <c r="C1185" s="22" t="s">
        <v>124</v>
      </c>
      <c r="D1185" s="23">
        <v>1</v>
      </c>
      <c r="E1185" s="24">
        <f>SUM($D$2:D1185)/SUM($D$2:$D$2846)</f>
        <v>0.85887850467289717</v>
      </c>
      <c r="F1185" s="22" t="s">
        <v>46</v>
      </c>
      <c r="G1185" s="25" t="s">
        <v>125</v>
      </c>
    </row>
    <row r="1186" spans="1:7">
      <c r="A1186" s="21" t="s">
        <v>1292</v>
      </c>
      <c r="B1186" s="22" t="s">
        <v>129</v>
      </c>
      <c r="C1186" s="22" t="s">
        <v>124</v>
      </c>
      <c r="D1186" s="23">
        <v>1</v>
      </c>
      <c r="E1186" s="24">
        <f>SUM($D$2:D1186)/SUM($D$2:$D$2846)</f>
        <v>0.85896346644010191</v>
      </c>
      <c r="F1186" s="22" t="s">
        <v>46</v>
      </c>
      <c r="G1186" s="25" t="s">
        <v>130</v>
      </c>
    </row>
    <row r="1187" spans="1:7">
      <c r="A1187" s="21" t="s">
        <v>1293</v>
      </c>
      <c r="B1187" s="22" t="s">
        <v>56</v>
      </c>
      <c r="C1187" s="22" t="s">
        <v>124</v>
      </c>
      <c r="D1187" s="23">
        <v>1</v>
      </c>
      <c r="E1187" s="24">
        <f>SUM($D$2:D1187)/SUM($D$2:$D$2846)</f>
        <v>0.85904842820730676</v>
      </c>
      <c r="F1187" s="22" t="s">
        <v>46</v>
      </c>
      <c r="G1187" s="25" t="s">
        <v>125</v>
      </c>
    </row>
    <row r="1188" spans="1:7">
      <c r="A1188" s="21" t="s">
        <v>1294</v>
      </c>
      <c r="B1188" s="26" t="s">
        <v>163</v>
      </c>
      <c r="C1188" s="22" t="s">
        <v>45</v>
      </c>
      <c r="D1188" s="23">
        <v>1</v>
      </c>
      <c r="E1188" s="24">
        <f>SUM($D$2:D1188)/SUM($D$2:$D$2846)</f>
        <v>0.8591333899745115</v>
      </c>
      <c r="F1188" s="22" t="s">
        <v>46</v>
      </c>
      <c r="G1188" s="25" t="s">
        <v>164</v>
      </c>
    </row>
    <row r="1189" spans="1:7">
      <c r="A1189" s="21" t="s">
        <v>1295</v>
      </c>
      <c r="B1189" s="26" t="s">
        <v>163</v>
      </c>
      <c r="C1189" s="22" t="s">
        <v>45</v>
      </c>
      <c r="D1189" s="23">
        <v>1</v>
      </c>
      <c r="E1189" s="24">
        <f>SUM($D$2:D1189)/SUM($D$2:$D$2846)</f>
        <v>0.85921835174171624</v>
      </c>
      <c r="F1189" s="22" t="s">
        <v>46</v>
      </c>
      <c r="G1189" s="25" t="s">
        <v>164</v>
      </c>
    </row>
    <row r="1190" spans="1:7">
      <c r="A1190" s="21" t="s">
        <v>1296</v>
      </c>
      <c r="B1190" s="26" t="s">
        <v>163</v>
      </c>
      <c r="C1190" s="22" t="s">
        <v>45</v>
      </c>
      <c r="D1190" s="23">
        <v>1</v>
      </c>
      <c r="E1190" s="24">
        <f>SUM($D$2:D1190)/SUM($D$2:$D$2846)</f>
        <v>0.85930331350892097</v>
      </c>
      <c r="F1190" s="22" t="s">
        <v>46</v>
      </c>
      <c r="G1190" s="25" t="s">
        <v>164</v>
      </c>
    </row>
    <row r="1191" spans="1:7">
      <c r="A1191" s="21" t="s">
        <v>1297</v>
      </c>
      <c r="B1191" s="26" t="s">
        <v>163</v>
      </c>
      <c r="C1191" s="22" t="s">
        <v>45</v>
      </c>
      <c r="D1191" s="23">
        <v>1</v>
      </c>
      <c r="E1191" s="24">
        <f>SUM($D$2:D1191)/SUM($D$2:$D$2846)</f>
        <v>0.85938827527612571</v>
      </c>
      <c r="F1191" s="22" t="s">
        <v>46</v>
      </c>
      <c r="G1191" s="25" t="s">
        <v>164</v>
      </c>
    </row>
    <row r="1192" spans="1:7">
      <c r="A1192" s="21" t="s">
        <v>1298</v>
      </c>
      <c r="B1192" s="26" t="s">
        <v>163</v>
      </c>
      <c r="C1192" s="22" t="s">
        <v>45</v>
      </c>
      <c r="D1192" s="23">
        <v>1</v>
      </c>
      <c r="E1192" s="24">
        <f>SUM($D$2:D1192)/SUM($D$2:$D$2846)</f>
        <v>0.85947323704333045</v>
      </c>
      <c r="F1192" s="22" t="s">
        <v>46</v>
      </c>
      <c r="G1192" s="25" t="s">
        <v>164</v>
      </c>
    </row>
    <row r="1193" spans="1:7">
      <c r="A1193" s="21" t="s">
        <v>1299</v>
      </c>
      <c r="B1193" s="22" t="s">
        <v>56</v>
      </c>
      <c r="C1193" s="22" t="s">
        <v>124</v>
      </c>
      <c r="D1193" s="23">
        <v>1</v>
      </c>
      <c r="E1193" s="24">
        <f>SUM($D$2:D1193)/SUM($D$2:$D$2846)</f>
        <v>0.8595581988105353</v>
      </c>
      <c r="F1193" s="22" t="s">
        <v>46</v>
      </c>
      <c r="G1193" s="25" t="s">
        <v>125</v>
      </c>
    </row>
    <row r="1194" spans="1:7">
      <c r="A1194" s="21" t="s">
        <v>1300</v>
      </c>
      <c r="B1194" s="22" t="s">
        <v>56</v>
      </c>
      <c r="C1194" s="22" t="s">
        <v>124</v>
      </c>
      <c r="D1194" s="23">
        <v>1</v>
      </c>
      <c r="E1194" s="24">
        <f>SUM($D$2:D1194)/SUM($D$2:$D$2846)</f>
        <v>0.85964316057774004</v>
      </c>
      <c r="F1194" s="22" t="s">
        <v>46</v>
      </c>
      <c r="G1194" s="25" t="s">
        <v>125</v>
      </c>
    </row>
    <row r="1195" spans="1:7">
      <c r="A1195" s="21" t="s">
        <v>1301</v>
      </c>
      <c r="B1195" s="26" t="s">
        <v>163</v>
      </c>
      <c r="C1195" s="22" t="s">
        <v>45</v>
      </c>
      <c r="D1195" s="23">
        <v>1</v>
      </c>
      <c r="E1195" s="24">
        <f>SUM($D$2:D1195)/SUM($D$2:$D$2846)</f>
        <v>0.85972812234494478</v>
      </c>
      <c r="F1195" s="22" t="s">
        <v>46</v>
      </c>
      <c r="G1195" s="25" t="s">
        <v>164</v>
      </c>
    </row>
    <row r="1196" spans="1:7">
      <c r="A1196" s="21" t="s">
        <v>1302</v>
      </c>
      <c r="B1196" s="26" t="s">
        <v>163</v>
      </c>
      <c r="C1196" s="22" t="s">
        <v>45</v>
      </c>
      <c r="D1196" s="23">
        <v>1</v>
      </c>
      <c r="E1196" s="24">
        <f>SUM($D$2:D1196)/SUM($D$2:$D$2846)</f>
        <v>0.85981308411214952</v>
      </c>
      <c r="F1196" s="22" t="s">
        <v>46</v>
      </c>
      <c r="G1196" s="25" t="s">
        <v>164</v>
      </c>
    </row>
    <row r="1197" spans="1:7">
      <c r="A1197" s="21" t="s">
        <v>1303</v>
      </c>
      <c r="B1197" s="22" t="s">
        <v>56</v>
      </c>
      <c r="C1197" s="22" t="s">
        <v>124</v>
      </c>
      <c r="D1197" s="23">
        <v>1</v>
      </c>
      <c r="E1197" s="24">
        <f>SUM($D$2:D1197)/SUM($D$2:$D$2846)</f>
        <v>0.85989804587935426</v>
      </c>
      <c r="F1197" s="22" t="s">
        <v>46</v>
      </c>
      <c r="G1197" s="25" t="s">
        <v>125</v>
      </c>
    </row>
    <row r="1198" spans="1:7">
      <c r="A1198" s="21" t="s">
        <v>1304</v>
      </c>
      <c r="B1198" s="22" t="s">
        <v>56</v>
      </c>
      <c r="C1198" s="22" t="s">
        <v>124</v>
      </c>
      <c r="D1198" s="23">
        <v>1</v>
      </c>
      <c r="E1198" s="24">
        <f>SUM($D$2:D1198)/SUM($D$2:$D$2846)</f>
        <v>0.85998300764655899</v>
      </c>
      <c r="F1198" s="22" t="s">
        <v>46</v>
      </c>
      <c r="G1198" s="25" t="s">
        <v>125</v>
      </c>
    </row>
    <row r="1199" spans="1:7">
      <c r="A1199" s="21" t="s">
        <v>1305</v>
      </c>
      <c r="B1199" s="22" t="s">
        <v>56</v>
      </c>
      <c r="C1199" s="22" t="s">
        <v>124</v>
      </c>
      <c r="D1199" s="23">
        <v>1</v>
      </c>
      <c r="E1199" s="24">
        <f>SUM($D$2:D1199)/SUM($D$2:$D$2846)</f>
        <v>0.86006796941376384</v>
      </c>
      <c r="F1199" s="22" t="s">
        <v>46</v>
      </c>
      <c r="G1199" s="25" t="s">
        <v>125</v>
      </c>
    </row>
    <row r="1200" spans="1:7">
      <c r="A1200" s="21" t="s">
        <v>1306</v>
      </c>
      <c r="B1200" s="22" t="s">
        <v>56</v>
      </c>
      <c r="C1200" s="22" t="s">
        <v>124</v>
      </c>
      <c r="D1200" s="23">
        <v>1</v>
      </c>
      <c r="E1200" s="24">
        <f>SUM($D$2:D1200)/SUM($D$2:$D$2846)</f>
        <v>0.86015293118096858</v>
      </c>
      <c r="F1200" s="22" t="s">
        <v>46</v>
      </c>
      <c r="G1200" s="25" t="s">
        <v>125</v>
      </c>
    </row>
    <row r="1201" spans="1:7">
      <c r="A1201" s="21" t="s">
        <v>1307</v>
      </c>
      <c r="B1201" s="22" t="s">
        <v>56</v>
      </c>
      <c r="C1201" s="22" t="s">
        <v>124</v>
      </c>
      <c r="D1201" s="23">
        <v>1</v>
      </c>
      <c r="E1201" s="24">
        <f>SUM($D$2:D1201)/SUM($D$2:$D$2846)</f>
        <v>0.86023789294817332</v>
      </c>
      <c r="F1201" s="22" t="s">
        <v>46</v>
      </c>
      <c r="G1201" s="25" t="s">
        <v>125</v>
      </c>
    </row>
    <row r="1202" spans="1:7">
      <c r="A1202" s="21" t="s">
        <v>1308</v>
      </c>
      <c r="B1202" s="22" t="s">
        <v>56</v>
      </c>
      <c r="C1202" s="22" t="s">
        <v>124</v>
      </c>
      <c r="D1202" s="23">
        <v>1</v>
      </c>
      <c r="E1202" s="24">
        <f>SUM($D$2:D1202)/SUM($D$2:$D$2846)</f>
        <v>0.86032285471537806</v>
      </c>
      <c r="F1202" s="22" t="s">
        <v>46</v>
      </c>
      <c r="G1202" s="25" t="s">
        <v>125</v>
      </c>
    </row>
    <row r="1203" spans="1:7">
      <c r="A1203" s="21" t="s">
        <v>1309</v>
      </c>
      <c r="B1203" s="22" t="s">
        <v>56</v>
      </c>
      <c r="C1203" s="22" t="s">
        <v>124</v>
      </c>
      <c r="D1203" s="23">
        <v>1</v>
      </c>
      <c r="E1203" s="24">
        <f>SUM($D$2:D1203)/SUM($D$2:$D$2846)</f>
        <v>0.8604078164825828</v>
      </c>
      <c r="F1203" s="22" t="s">
        <v>46</v>
      </c>
      <c r="G1203" s="25" t="s">
        <v>125</v>
      </c>
    </row>
    <row r="1204" spans="1:7">
      <c r="A1204" s="21" t="s">
        <v>1310</v>
      </c>
      <c r="B1204" s="22" t="s">
        <v>56</v>
      </c>
      <c r="C1204" s="22" t="s">
        <v>124</v>
      </c>
      <c r="D1204" s="23">
        <v>1</v>
      </c>
      <c r="E1204" s="24">
        <f>SUM($D$2:D1204)/SUM($D$2:$D$2846)</f>
        <v>0.86049277824978765</v>
      </c>
      <c r="F1204" s="22" t="s">
        <v>46</v>
      </c>
      <c r="G1204" s="25" t="s">
        <v>125</v>
      </c>
    </row>
    <row r="1205" spans="1:7">
      <c r="A1205" s="21" t="s">
        <v>1311</v>
      </c>
      <c r="B1205" s="22" t="s">
        <v>56</v>
      </c>
      <c r="C1205" s="22" t="s">
        <v>124</v>
      </c>
      <c r="D1205" s="23">
        <v>1</v>
      </c>
      <c r="E1205" s="24">
        <f>SUM($D$2:D1205)/SUM($D$2:$D$2846)</f>
        <v>0.86057774001699239</v>
      </c>
      <c r="F1205" s="22" t="s">
        <v>46</v>
      </c>
      <c r="G1205" s="25" t="s">
        <v>125</v>
      </c>
    </row>
    <row r="1206" spans="1:7">
      <c r="A1206" s="21" t="s">
        <v>1312</v>
      </c>
      <c r="B1206" s="22" t="s">
        <v>56</v>
      </c>
      <c r="C1206" s="22" t="s">
        <v>124</v>
      </c>
      <c r="D1206" s="23">
        <v>1</v>
      </c>
      <c r="E1206" s="24">
        <f>SUM($D$2:D1206)/SUM($D$2:$D$2846)</f>
        <v>0.86066270178419713</v>
      </c>
      <c r="F1206" s="22" t="s">
        <v>46</v>
      </c>
      <c r="G1206" s="25" t="s">
        <v>125</v>
      </c>
    </row>
    <row r="1207" spans="1:7">
      <c r="A1207" s="21" t="s">
        <v>1313</v>
      </c>
      <c r="B1207" s="22" t="s">
        <v>56</v>
      </c>
      <c r="C1207" s="22" t="s">
        <v>124</v>
      </c>
      <c r="D1207" s="23">
        <v>1</v>
      </c>
      <c r="E1207" s="24">
        <f>SUM($D$2:D1207)/SUM($D$2:$D$2846)</f>
        <v>0.86074766355140186</v>
      </c>
      <c r="F1207" s="22" t="s">
        <v>46</v>
      </c>
      <c r="G1207" s="25" t="s">
        <v>125</v>
      </c>
    </row>
    <row r="1208" spans="1:7">
      <c r="A1208" s="21" t="s">
        <v>1314</v>
      </c>
      <c r="B1208" s="22" t="s">
        <v>56</v>
      </c>
      <c r="C1208" s="22" t="s">
        <v>124</v>
      </c>
      <c r="D1208" s="23">
        <v>1</v>
      </c>
      <c r="E1208" s="24">
        <f>SUM($D$2:D1208)/SUM($D$2:$D$2846)</f>
        <v>0.8608326253186066</v>
      </c>
      <c r="F1208" s="22" t="s">
        <v>46</v>
      </c>
      <c r="G1208" s="25" t="s">
        <v>125</v>
      </c>
    </row>
    <row r="1209" spans="1:7">
      <c r="A1209" s="21" t="s">
        <v>1315</v>
      </c>
      <c r="B1209" s="22" t="s">
        <v>56</v>
      </c>
      <c r="C1209" s="22" t="s">
        <v>124</v>
      </c>
      <c r="D1209" s="23">
        <v>1</v>
      </c>
      <c r="E1209" s="24">
        <f>SUM($D$2:D1209)/SUM($D$2:$D$2846)</f>
        <v>0.86091758708581134</v>
      </c>
      <c r="F1209" s="22" t="s">
        <v>46</v>
      </c>
      <c r="G1209" s="25" t="s">
        <v>125</v>
      </c>
    </row>
    <row r="1210" spans="1:7">
      <c r="A1210" s="21" t="s">
        <v>1316</v>
      </c>
      <c r="B1210" s="22" t="s">
        <v>56</v>
      </c>
      <c r="C1210" s="22" t="s">
        <v>124</v>
      </c>
      <c r="D1210" s="23">
        <v>1</v>
      </c>
      <c r="E1210" s="24">
        <f>SUM($D$2:D1210)/SUM($D$2:$D$2846)</f>
        <v>0.86100254885301619</v>
      </c>
      <c r="F1210" s="22" t="s">
        <v>46</v>
      </c>
      <c r="G1210" s="25" t="s">
        <v>125</v>
      </c>
    </row>
    <row r="1211" spans="1:7">
      <c r="A1211" s="21" t="s">
        <v>1317</v>
      </c>
      <c r="B1211" s="22" t="s">
        <v>56</v>
      </c>
      <c r="C1211" s="22" t="s">
        <v>124</v>
      </c>
      <c r="D1211" s="23">
        <v>1</v>
      </c>
      <c r="E1211" s="24">
        <f>SUM($D$2:D1211)/SUM($D$2:$D$2846)</f>
        <v>0.86108751062022093</v>
      </c>
      <c r="F1211" s="22" t="s">
        <v>46</v>
      </c>
      <c r="G1211" s="25" t="s">
        <v>125</v>
      </c>
    </row>
    <row r="1212" spans="1:7">
      <c r="A1212" s="21" t="s">
        <v>1318</v>
      </c>
      <c r="B1212" s="22" t="s">
        <v>56</v>
      </c>
      <c r="C1212" s="22" t="s">
        <v>124</v>
      </c>
      <c r="D1212" s="23">
        <v>1</v>
      </c>
      <c r="E1212" s="24">
        <f>SUM($D$2:D1212)/SUM($D$2:$D$2846)</f>
        <v>0.86117247238742567</v>
      </c>
      <c r="F1212" s="22" t="s">
        <v>46</v>
      </c>
      <c r="G1212" s="25" t="s">
        <v>125</v>
      </c>
    </row>
    <row r="1213" spans="1:7">
      <c r="A1213" s="21" t="s">
        <v>86</v>
      </c>
      <c r="B1213" s="26" t="s">
        <v>56</v>
      </c>
      <c r="C1213" s="22" t="s">
        <v>45</v>
      </c>
      <c r="D1213" s="23">
        <v>1</v>
      </c>
      <c r="E1213" s="24">
        <f>SUM($D$2:D1213)/SUM($D$2:$D$2846)</f>
        <v>0.86125743415463041</v>
      </c>
      <c r="F1213" s="22" t="s">
        <v>46</v>
      </c>
      <c r="G1213" s="25" t="s">
        <v>47</v>
      </c>
    </row>
    <row r="1214" spans="1:7">
      <c r="A1214" s="21" t="s">
        <v>1319</v>
      </c>
      <c r="B1214" s="22" t="s">
        <v>56</v>
      </c>
      <c r="C1214" s="22" t="s">
        <v>124</v>
      </c>
      <c r="D1214" s="23">
        <v>1</v>
      </c>
      <c r="E1214" s="24">
        <f>SUM($D$2:D1214)/SUM($D$2:$D$2846)</f>
        <v>0.86134239592183515</v>
      </c>
      <c r="F1214" s="22" t="s">
        <v>46</v>
      </c>
      <c r="G1214" s="25" t="s">
        <v>125</v>
      </c>
    </row>
    <row r="1215" spans="1:7">
      <c r="A1215" s="21" t="s">
        <v>1320</v>
      </c>
      <c r="B1215" s="22" t="s">
        <v>56</v>
      </c>
      <c r="C1215" s="22" t="s">
        <v>124</v>
      </c>
      <c r="D1215" s="23">
        <v>1</v>
      </c>
      <c r="E1215" s="24">
        <f>SUM($D$2:D1215)/SUM($D$2:$D$2846)</f>
        <v>0.86142735768903989</v>
      </c>
      <c r="F1215" s="22" t="s">
        <v>46</v>
      </c>
      <c r="G1215" s="25" t="s">
        <v>125</v>
      </c>
    </row>
    <row r="1216" spans="1:7">
      <c r="A1216" s="21" t="s">
        <v>1321</v>
      </c>
      <c r="B1216" s="22" t="s">
        <v>56</v>
      </c>
      <c r="C1216" s="22" t="s">
        <v>124</v>
      </c>
      <c r="D1216" s="23">
        <v>1</v>
      </c>
      <c r="E1216" s="24">
        <f>SUM($D$2:D1216)/SUM($D$2:$D$2846)</f>
        <v>0.86151231945624474</v>
      </c>
      <c r="F1216" s="22" t="s">
        <v>46</v>
      </c>
      <c r="G1216" s="25" t="s">
        <v>125</v>
      </c>
    </row>
    <row r="1217" spans="1:7">
      <c r="A1217" s="21" t="s">
        <v>1322</v>
      </c>
      <c r="B1217" s="22" t="s">
        <v>56</v>
      </c>
      <c r="C1217" s="22" t="s">
        <v>124</v>
      </c>
      <c r="D1217" s="23">
        <v>1</v>
      </c>
      <c r="E1217" s="24">
        <f>SUM($D$2:D1217)/SUM($D$2:$D$2846)</f>
        <v>0.86159728122344947</v>
      </c>
      <c r="F1217" s="22" t="s">
        <v>46</v>
      </c>
      <c r="G1217" s="25" t="s">
        <v>125</v>
      </c>
    </row>
    <row r="1218" spans="1:7">
      <c r="A1218" s="21" t="s">
        <v>1323</v>
      </c>
      <c r="B1218" s="22" t="s">
        <v>56</v>
      </c>
      <c r="C1218" s="22" t="s">
        <v>124</v>
      </c>
      <c r="D1218" s="23">
        <v>1</v>
      </c>
      <c r="E1218" s="24">
        <f>SUM($D$2:D1218)/SUM($D$2:$D$2846)</f>
        <v>0.86168224299065421</v>
      </c>
      <c r="F1218" s="22" t="s">
        <v>46</v>
      </c>
      <c r="G1218" s="25" t="s">
        <v>125</v>
      </c>
    </row>
    <row r="1219" spans="1:7">
      <c r="A1219" s="21" t="s">
        <v>1324</v>
      </c>
      <c r="B1219" s="22" t="s">
        <v>56</v>
      </c>
      <c r="C1219" s="22" t="s">
        <v>124</v>
      </c>
      <c r="D1219" s="23">
        <v>1</v>
      </c>
      <c r="E1219" s="24">
        <f>SUM($D$2:D1219)/SUM($D$2:$D$2846)</f>
        <v>0.86176720475785895</v>
      </c>
      <c r="F1219" s="22" t="s">
        <v>46</v>
      </c>
      <c r="G1219" s="25" t="s">
        <v>125</v>
      </c>
    </row>
    <row r="1220" spans="1:7">
      <c r="A1220" s="21" t="s">
        <v>1325</v>
      </c>
      <c r="B1220" s="22" t="s">
        <v>56</v>
      </c>
      <c r="C1220" s="22" t="s">
        <v>124</v>
      </c>
      <c r="D1220" s="23">
        <v>1</v>
      </c>
      <c r="E1220" s="24">
        <f>SUM($D$2:D1220)/SUM($D$2:$D$2846)</f>
        <v>0.86185216652506369</v>
      </c>
      <c r="F1220" s="22" t="s">
        <v>46</v>
      </c>
      <c r="G1220" s="25" t="s">
        <v>125</v>
      </c>
    </row>
    <row r="1221" spans="1:7">
      <c r="A1221" s="21" t="s">
        <v>1326</v>
      </c>
      <c r="B1221" s="22" t="s">
        <v>56</v>
      </c>
      <c r="C1221" s="22" t="s">
        <v>124</v>
      </c>
      <c r="D1221" s="23">
        <v>1</v>
      </c>
      <c r="E1221" s="24">
        <f>SUM($D$2:D1221)/SUM($D$2:$D$2846)</f>
        <v>0.86193712829226843</v>
      </c>
      <c r="F1221" s="22" t="s">
        <v>46</v>
      </c>
      <c r="G1221" s="25" t="s">
        <v>125</v>
      </c>
    </row>
    <row r="1222" spans="1:7">
      <c r="A1222" s="21" t="s">
        <v>87</v>
      </c>
      <c r="B1222" s="26" t="s">
        <v>163</v>
      </c>
      <c r="C1222" s="22" t="s">
        <v>45</v>
      </c>
      <c r="D1222" s="23">
        <v>1</v>
      </c>
      <c r="E1222" s="24">
        <f>SUM($D$2:D1222)/SUM($D$2:$D$2846)</f>
        <v>0.86202209005947328</v>
      </c>
      <c r="F1222" s="22" t="s">
        <v>46</v>
      </c>
      <c r="G1222" s="25" t="s">
        <v>57</v>
      </c>
    </row>
    <row r="1223" spans="1:7">
      <c r="A1223" s="21" t="s">
        <v>1327</v>
      </c>
      <c r="B1223" s="22" t="s">
        <v>56</v>
      </c>
      <c r="C1223" s="22" t="s">
        <v>124</v>
      </c>
      <c r="D1223" s="23">
        <v>1</v>
      </c>
      <c r="E1223" s="24">
        <f>SUM($D$2:D1223)/SUM($D$2:$D$2846)</f>
        <v>0.86210705182667802</v>
      </c>
      <c r="F1223" s="22" t="s">
        <v>46</v>
      </c>
      <c r="G1223" s="25" t="s">
        <v>125</v>
      </c>
    </row>
    <row r="1224" spans="1:7">
      <c r="A1224" s="21" t="s">
        <v>1328</v>
      </c>
      <c r="B1224" s="22" t="s">
        <v>56</v>
      </c>
      <c r="C1224" s="22" t="s">
        <v>124</v>
      </c>
      <c r="D1224" s="23">
        <v>1</v>
      </c>
      <c r="E1224" s="24">
        <f>SUM($D$2:D1224)/SUM($D$2:$D$2846)</f>
        <v>0.86219201359388276</v>
      </c>
      <c r="F1224" s="22" t="s">
        <v>46</v>
      </c>
      <c r="G1224" s="25" t="s">
        <v>125</v>
      </c>
    </row>
    <row r="1225" spans="1:7">
      <c r="A1225" s="21" t="s">
        <v>1329</v>
      </c>
      <c r="B1225" s="22" t="s">
        <v>56</v>
      </c>
      <c r="C1225" s="22" t="s">
        <v>124</v>
      </c>
      <c r="D1225" s="23">
        <v>1</v>
      </c>
      <c r="E1225" s="24">
        <f>SUM($D$2:D1225)/SUM($D$2:$D$2846)</f>
        <v>0.86227697536108749</v>
      </c>
      <c r="F1225" s="22" t="s">
        <v>46</v>
      </c>
      <c r="G1225" s="25" t="s">
        <v>125</v>
      </c>
    </row>
    <row r="1226" spans="1:7">
      <c r="A1226" s="21" t="s">
        <v>1330</v>
      </c>
      <c r="B1226" s="22" t="s">
        <v>56</v>
      </c>
      <c r="C1226" s="22" t="s">
        <v>124</v>
      </c>
      <c r="D1226" s="23">
        <v>1</v>
      </c>
      <c r="E1226" s="24">
        <f>SUM($D$2:D1226)/SUM($D$2:$D$2846)</f>
        <v>0.86236193712829223</v>
      </c>
      <c r="F1226" s="22" t="s">
        <v>46</v>
      </c>
      <c r="G1226" s="25" t="s">
        <v>125</v>
      </c>
    </row>
    <row r="1227" spans="1:7">
      <c r="A1227" s="21" t="s">
        <v>1331</v>
      </c>
      <c r="B1227" s="22" t="s">
        <v>56</v>
      </c>
      <c r="C1227" s="22" t="s">
        <v>124</v>
      </c>
      <c r="D1227" s="23">
        <v>1</v>
      </c>
      <c r="E1227" s="24">
        <f>SUM($D$2:D1227)/SUM($D$2:$D$2846)</f>
        <v>0.86244689889549697</v>
      </c>
      <c r="F1227" s="22" t="s">
        <v>46</v>
      </c>
      <c r="G1227" s="25" t="s">
        <v>125</v>
      </c>
    </row>
    <row r="1228" spans="1:7">
      <c r="A1228" s="21" t="s">
        <v>1332</v>
      </c>
      <c r="B1228" s="22" t="s">
        <v>56</v>
      </c>
      <c r="C1228" s="22" t="s">
        <v>124</v>
      </c>
      <c r="D1228" s="23">
        <v>1</v>
      </c>
      <c r="E1228" s="24">
        <f>SUM($D$2:D1228)/SUM($D$2:$D$2846)</f>
        <v>0.86253186066270182</v>
      </c>
      <c r="F1228" s="22" t="s">
        <v>46</v>
      </c>
      <c r="G1228" s="25" t="s">
        <v>125</v>
      </c>
    </row>
    <row r="1229" spans="1:7">
      <c r="A1229" s="21" t="s">
        <v>1333</v>
      </c>
      <c r="B1229" s="22" t="s">
        <v>56</v>
      </c>
      <c r="C1229" s="22" t="s">
        <v>124</v>
      </c>
      <c r="D1229" s="23">
        <v>1</v>
      </c>
      <c r="E1229" s="24">
        <f>SUM($D$2:D1229)/SUM($D$2:$D$2846)</f>
        <v>0.86261682242990656</v>
      </c>
      <c r="F1229" s="22" t="s">
        <v>46</v>
      </c>
      <c r="G1229" s="25" t="s">
        <v>125</v>
      </c>
    </row>
    <row r="1230" spans="1:7">
      <c r="A1230" s="21" t="s">
        <v>1334</v>
      </c>
      <c r="B1230" s="22" t="s">
        <v>56</v>
      </c>
      <c r="C1230" s="22" t="s">
        <v>124</v>
      </c>
      <c r="D1230" s="23">
        <v>1</v>
      </c>
      <c r="E1230" s="24">
        <f>SUM($D$2:D1230)/SUM($D$2:$D$2846)</f>
        <v>0.8627017841971113</v>
      </c>
      <c r="F1230" s="22" t="s">
        <v>46</v>
      </c>
      <c r="G1230" s="25" t="s">
        <v>125</v>
      </c>
    </row>
    <row r="1231" spans="1:7">
      <c r="A1231" s="21" t="s">
        <v>1335</v>
      </c>
      <c r="B1231" s="22" t="s">
        <v>56</v>
      </c>
      <c r="C1231" s="22" t="s">
        <v>124</v>
      </c>
      <c r="D1231" s="23">
        <v>1</v>
      </c>
      <c r="E1231" s="24">
        <f>SUM($D$2:D1231)/SUM($D$2:$D$2846)</f>
        <v>0.86278674596431604</v>
      </c>
      <c r="F1231" s="22" t="s">
        <v>46</v>
      </c>
      <c r="G1231" s="25" t="s">
        <v>125</v>
      </c>
    </row>
    <row r="1232" spans="1:7">
      <c r="A1232" s="21" t="s">
        <v>1336</v>
      </c>
      <c r="B1232" s="26" t="s">
        <v>163</v>
      </c>
      <c r="C1232" s="22" t="s">
        <v>45</v>
      </c>
      <c r="D1232" s="23">
        <v>1</v>
      </c>
      <c r="E1232" s="24">
        <f>SUM($D$2:D1232)/SUM($D$2:$D$2846)</f>
        <v>0.86287170773152078</v>
      </c>
      <c r="F1232" s="22" t="s">
        <v>46</v>
      </c>
      <c r="G1232" s="25" t="s">
        <v>164</v>
      </c>
    </row>
    <row r="1233" spans="1:7">
      <c r="A1233" s="21" t="s">
        <v>1337</v>
      </c>
      <c r="B1233" s="22" t="s">
        <v>56</v>
      </c>
      <c r="C1233" s="22" t="s">
        <v>124</v>
      </c>
      <c r="D1233" s="23">
        <v>1</v>
      </c>
      <c r="E1233" s="24">
        <f>SUM($D$2:D1233)/SUM($D$2:$D$2846)</f>
        <v>0.86295666949872563</v>
      </c>
      <c r="F1233" s="22" t="s">
        <v>46</v>
      </c>
      <c r="G1233" s="25" t="s">
        <v>125</v>
      </c>
    </row>
    <row r="1234" spans="1:7">
      <c r="A1234" s="21" t="s">
        <v>1338</v>
      </c>
      <c r="B1234" s="26" t="s">
        <v>163</v>
      </c>
      <c r="C1234" s="22" t="s">
        <v>45</v>
      </c>
      <c r="D1234" s="23">
        <v>1</v>
      </c>
      <c r="E1234" s="24">
        <f>SUM($D$2:D1234)/SUM($D$2:$D$2846)</f>
        <v>0.86304163126593036</v>
      </c>
      <c r="F1234" s="22" t="s">
        <v>46</v>
      </c>
      <c r="G1234" s="25" t="s">
        <v>164</v>
      </c>
    </row>
    <row r="1235" spans="1:7">
      <c r="A1235" s="21" t="s">
        <v>1339</v>
      </c>
      <c r="B1235" s="22" t="s">
        <v>56</v>
      </c>
      <c r="C1235" s="22" t="s">
        <v>124</v>
      </c>
      <c r="D1235" s="23">
        <v>1</v>
      </c>
      <c r="E1235" s="24">
        <f>SUM($D$2:D1235)/SUM($D$2:$D$2846)</f>
        <v>0.8631265930331351</v>
      </c>
      <c r="F1235" s="22" t="s">
        <v>46</v>
      </c>
      <c r="G1235" s="25" t="s">
        <v>125</v>
      </c>
    </row>
    <row r="1236" spans="1:7">
      <c r="A1236" s="21" t="s">
        <v>1340</v>
      </c>
      <c r="B1236" s="22" t="s">
        <v>56</v>
      </c>
      <c r="C1236" s="22" t="s">
        <v>124</v>
      </c>
      <c r="D1236" s="23">
        <v>1</v>
      </c>
      <c r="E1236" s="24">
        <f>SUM($D$2:D1236)/SUM($D$2:$D$2846)</f>
        <v>0.86321155480033984</v>
      </c>
      <c r="F1236" s="22" t="s">
        <v>46</v>
      </c>
      <c r="G1236" s="25" t="s">
        <v>125</v>
      </c>
    </row>
    <row r="1237" spans="1:7">
      <c r="A1237" s="21" t="s">
        <v>1341</v>
      </c>
      <c r="B1237" s="26" t="s">
        <v>163</v>
      </c>
      <c r="C1237" s="22" t="s">
        <v>45</v>
      </c>
      <c r="D1237" s="23">
        <v>1</v>
      </c>
      <c r="E1237" s="24">
        <f>SUM($D$2:D1237)/SUM($D$2:$D$2846)</f>
        <v>0.86329651656754458</v>
      </c>
      <c r="F1237" s="22" t="s">
        <v>46</v>
      </c>
      <c r="G1237" s="25" t="s">
        <v>164</v>
      </c>
    </row>
    <row r="1238" spans="1:7">
      <c r="A1238" s="21" t="s">
        <v>1342</v>
      </c>
      <c r="B1238" s="22" t="s">
        <v>56</v>
      </c>
      <c r="C1238" s="22" t="s">
        <v>124</v>
      </c>
      <c r="D1238" s="23">
        <v>1</v>
      </c>
      <c r="E1238" s="24">
        <f>SUM($D$2:D1238)/SUM($D$2:$D$2846)</f>
        <v>0.86338147833474932</v>
      </c>
      <c r="F1238" s="22" t="s">
        <v>46</v>
      </c>
      <c r="G1238" s="25" t="s">
        <v>125</v>
      </c>
    </row>
    <row r="1239" spans="1:7">
      <c r="A1239" s="21" t="s">
        <v>1343</v>
      </c>
      <c r="B1239" s="26" t="s">
        <v>163</v>
      </c>
      <c r="C1239" s="22" t="s">
        <v>45</v>
      </c>
      <c r="D1239" s="23">
        <v>1</v>
      </c>
      <c r="E1239" s="24">
        <f>SUM($D$2:D1239)/SUM($D$2:$D$2846)</f>
        <v>0.86346644010195417</v>
      </c>
      <c r="F1239" s="22" t="s">
        <v>46</v>
      </c>
      <c r="G1239" s="25" t="s">
        <v>164</v>
      </c>
    </row>
    <row r="1240" spans="1:7">
      <c r="A1240" s="21" t="s">
        <v>1344</v>
      </c>
      <c r="B1240" s="22" t="s">
        <v>56</v>
      </c>
      <c r="C1240" s="22" t="s">
        <v>124</v>
      </c>
      <c r="D1240" s="23">
        <v>1</v>
      </c>
      <c r="E1240" s="24">
        <f>SUM($D$2:D1240)/SUM($D$2:$D$2846)</f>
        <v>0.86355140186915891</v>
      </c>
      <c r="F1240" s="22" t="s">
        <v>46</v>
      </c>
      <c r="G1240" s="25" t="s">
        <v>125</v>
      </c>
    </row>
    <row r="1241" spans="1:7">
      <c r="A1241" s="21" t="s">
        <v>1345</v>
      </c>
      <c r="B1241" s="22" t="s">
        <v>56</v>
      </c>
      <c r="C1241" s="22" t="s">
        <v>124</v>
      </c>
      <c r="D1241" s="23">
        <v>1</v>
      </c>
      <c r="E1241" s="24">
        <f>SUM($D$2:D1241)/SUM($D$2:$D$2846)</f>
        <v>0.86363636363636365</v>
      </c>
      <c r="F1241" s="22" t="s">
        <v>46</v>
      </c>
      <c r="G1241" s="25" t="s">
        <v>125</v>
      </c>
    </row>
    <row r="1242" spans="1:7">
      <c r="A1242" s="21" t="s">
        <v>1346</v>
      </c>
      <c r="B1242" s="22" t="s">
        <v>56</v>
      </c>
      <c r="C1242" s="22" t="s">
        <v>124</v>
      </c>
      <c r="D1242" s="23">
        <v>1</v>
      </c>
      <c r="E1242" s="24">
        <f>SUM($D$2:D1242)/SUM($D$2:$D$2846)</f>
        <v>0.86372132540356839</v>
      </c>
      <c r="F1242" s="22" t="s">
        <v>46</v>
      </c>
      <c r="G1242" s="25" t="s">
        <v>125</v>
      </c>
    </row>
    <row r="1243" spans="1:7">
      <c r="A1243" s="21" t="s">
        <v>1347</v>
      </c>
      <c r="B1243" s="22" t="s">
        <v>56</v>
      </c>
      <c r="C1243" s="22" t="s">
        <v>124</v>
      </c>
      <c r="D1243" s="23">
        <v>1</v>
      </c>
      <c r="E1243" s="24">
        <f>SUM($D$2:D1243)/SUM($D$2:$D$2846)</f>
        <v>0.86380628717077312</v>
      </c>
      <c r="F1243" s="22" t="s">
        <v>46</v>
      </c>
      <c r="G1243" s="25" t="s">
        <v>125</v>
      </c>
    </row>
    <row r="1244" spans="1:7">
      <c r="A1244" s="21" t="s">
        <v>1348</v>
      </c>
      <c r="B1244" s="26" t="s">
        <v>163</v>
      </c>
      <c r="C1244" s="22" t="s">
        <v>45</v>
      </c>
      <c r="D1244" s="23">
        <v>1</v>
      </c>
      <c r="E1244" s="24">
        <f>SUM($D$2:D1244)/SUM($D$2:$D$2846)</f>
        <v>0.86389124893797786</v>
      </c>
      <c r="F1244" s="22" t="s">
        <v>46</v>
      </c>
      <c r="G1244" s="25" t="s">
        <v>164</v>
      </c>
    </row>
    <row r="1245" spans="1:7">
      <c r="A1245" s="21" t="s">
        <v>1349</v>
      </c>
      <c r="B1245" s="22" t="s">
        <v>56</v>
      </c>
      <c r="C1245" s="22" t="s">
        <v>124</v>
      </c>
      <c r="D1245" s="23">
        <v>1</v>
      </c>
      <c r="E1245" s="24">
        <f>SUM($D$2:D1245)/SUM($D$2:$D$2846)</f>
        <v>0.86397621070518271</v>
      </c>
      <c r="F1245" s="22" t="s">
        <v>46</v>
      </c>
      <c r="G1245" s="25" t="s">
        <v>125</v>
      </c>
    </row>
    <row r="1246" spans="1:7">
      <c r="A1246" s="21" t="s">
        <v>1350</v>
      </c>
      <c r="B1246" s="22" t="s">
        <v>56</v>
      </c>
      <c r="C1246" s="22" t="s">
        <v>124</v>
      </c>
      <c r="D1246" s="23">
        <v>1</v>
      </c>
      <c r="E1246" s="24">
        <f>SUM($D$2:D1246)/SUM($D$2:$D$2846)</f>
        <v>0.86406117247238745</v>
      </c>
      <c r="F1246" s="22" t="s">
        <v>46</v>
      </c>
      <c r="G1246" s="25" t="s">
        <v>125</v>
      </c>
    </row>
    <row r="1247" spans="1:7">
      <c r="A1247" s="21" t="s">
        <v>1351</v>
      </c>
      <c r="B1247" s="26" t="s">
        <v>163</v>
      </c>
      <c r="C1247" s="22" t="s">
        <v>45</v>
      </c>
      <c r="D1247" s="23">
        <v>1</v>
      </c>
      <c r="E1247" s="24">
        <f>SUM($D$2:D1247)/SUM($D$2:$D$2846)</f>
        <v>0.86414613423959219</v>
      </c>
      <c r="F1247" s="22" t="s">
        <v>46</v>
      </c>
      <c r="G1247" s="25" t="s">
        <v>164</v>
      </c>
    </row>
    <row r="1248" spans="1:7">
      <c r="A1248" s="21" t="s">
        <v>1352</v>
      </c>
      <c r="B1248" s="26" t="s">
        <v>163</v>
      </c>
      <c r="C1248" s="22" t="s">
        <v>45</v>
      </c>
      <c r="D1248" s="23">
        <v>1</v>
      </c>
      <c r="E1248" s="24">
        <f>SUM($D$2:D1248)/SUM($D$2:$D$2846)</f>
        <v>0.86423109600679693</v>
      </c>
      <c r="F1248" s="22" t="s">
        <v>46</v>
      </c>
      <c r="G1248" s="25" t="s">
        <v>164</v>
      </c>
    </row>
    <row r="1249" spans="1:7">
      <c r="A1249" s="21" t="s">
        <v>1353</v>
      </c>
      <c r="B1249" s="26" t="s">
        <v>163</v>
      </c>
      <c r="C1249" s="22" t="s">
        <v>45</v>
      </c>
      <c r="D1249" s="23">
        <v>1</v>
      </c>
      <c r="E1249" s="24">
        <f>SUM($D$2:D1249)/SUM($D$2:$D$2846)</f>
        <v>0.86431605777400167</v>
      </c>
      <c r="F1249" s="22" t="s">
        <v>46</v>
      </c>
      <c r="G1249" s="25" t="s">
        <v>164</v>
      </c>
    </row>
    <row r="1250" spans="1:7">
      <c r="A1250" s="21" t="s">
        <v>1354</v>
      </c>
      <c r="B1250" s="22" t="s">
        <v>56</v>
      </c>
      <c r="C1250" s="22" t="s">
        <v>124</v>
      </c>
      <c r="D1250" s="23">
        <v>1</v>
      </c>
      <c r="E1250" s="24">
        <f>SUM($D$2:D1250)/SUM($D$2:$D$2846)</f>
        <v>0.86440101954120641</v>
      </c>
      <c r="F1250" s="22" t="s">
        <v>46</v>
      </c>
      <c r="G1250" s="25" t="s">
        <v>125</v>
      </c>
    </row>
    <row r="1251" spans="1:7">
      <c r="A1251" s="21" t="s">
        <v>1355</v>
      </c>
      <c r="B1251" s="22" t="s">
        <v>56</v>
      </c>
      <c r="C1251" s="22" t="s">
        <v>124</v>
      </c>
      <c r="D1251" s="23">
        <v>1</v>
      </c>
      <c r="E1251" s="24">
        <f>SUM($D$2:D1251)/SUM($D$2:$D$2846)</f>
        <v>0.86448598130841126</v>
      </c>
      <c r="F1251" s="22" t="s">
        <v>46</v>
      </c>
      <c r="G1251" s="25" t="s">
        <v>125</v>
      </c>
    </row>
    <row r="1252" spans="1:7">
      <c r="A1252" s="21" t="s">
        <v>1356</v>
      </c>
      <c r="B1252" s="22" t="s">
        <v>56</v>
      </c>
      <c r="C1252" s="22" t="s">
        <v>124</v>
      </c>
      <c r="D1252" s="23">
        <v>1</v>
      </c>
      <c r="E1252" s="24">
        <f>SUM($D$2:D1252)/SUM($D$2:$D$2846)</f>
        <v>0.86457094307561599</v>
      </c>
      <c r="F1252" s="22" t="s">
        <v>46</v>
      </c>
      <c r="G1252" s="25" t="s">
        <v>125</v>
      </c>
    </row>
    <row r="1253" spans="1:7">
      <c r="A1253" s="21" t="s">
        <v>1357</v>
      </c>
      <c r="B1253" s="26" t="s">
        <v>163</v>
      </c>
      <c r="C1253" s="22" t="s">
        <v>45</v>
      </c>
      <c r="D1253" s="23">
        <v>1</v>
      </c>
      <c r="E1253" s="24">
        <f>SUM($D$2:D1253)/SUM($D$2:$D$2846)</f>
        <v>0.86465590484282073</v>
      </c>
      <c r="F1253" s="22" t="s">
        <v>46</v>
      </c>
      <c r="G1253" s="25" t="s">
        <v>164</v>
      </c>
    </row>
    <row r="1254" spans="1:7">
      <c r="A1254" s="21" t="s">
        <v>1358</v>
      </c>
      <c r="B1254" s="26" t="s">
        <v>163</v>
      </c>
      <c r="C1254" s="22" t="s">
        <v>45</v>
      </c>
      <c r="D1254" s="23">
        <v>1</v>
      </c>
      <c r="E1254" s="24">
        <f>SUM($D$2:D1254)/SUM($D$2:$D$2846)</f>
        <v>0.86474086661002547</v>
      </c>
      <c r="F1254" s="22" t="s">
        <v>46</v>
      </c>
      <c r="G1254" s="25" t="s">
        <v>164</v>
      </c>
    </row>
    <row r="1255" spans="1:7">
      <c r="A1255" s="21" t="s">
        <v>1359</v>
      </c>
      <c r="B1255" s="26" t="s">
        <v>163</v>
      </c>
      <c r="C1255" s="22" t="s">
        <v>45</v>
      </c>
      <c r="D1255" s="23">
        <v>1</v>
      </c>
      <c r="E1255" s="24">
        <f>SUM($D$2:D1255)/SUM($D$2:$D$2846)</f>
        <v>0.86482582837723021</v>
      </c>
      <c r="F1255" s="22" t="s">
        <v>46</v>
      </c>
      <c r="G1255" s="25" t="s">
        <v>164</v>
      </c>
    </row>
    <row r="1256" spans="1:7">
      <c r="A1256" s="21" t="s">
        <v>1360</v>
      </c>
      <c r="B1256" s="26" t="s">
        <v>163</v>
      </c>
      <c r="C1256" s="22" t="s">
        <v>45</v>
      </c>
      <c r="D1256" s="23">
        <v>1</v>
      </c>
      <c r="E1256" s="24">
        <f>SUM($D$2:D1256)/SUM($D$2:$D$2846)</f>
        <v>0.86491079014443495</v>
      </c>
      <c r="F1256" s="22" t="s">
        <v>46</v>
      </c>
      <c r="G1256" s="25" t="s">
        <v>164</v>
      </c>
    </row>
    <row r="1257" spans="1:7">
      <c r="A1257" s="21" t="s">
        <v>1361</v>
      </c>
      <c r="B1257" s="26" t="s">
        <v>163</v>
      </c>
      <c r="C1257" s="22" t="s">
        <v>45</v>
      </c>
      <c r="D1257" s="23">
        <v>1</v>
      </c>
      <c r="E1257" s="24">
        <f>SUM($D$2:D1257)/SUM($D$2:$D$2846)</f>
        <v>0.8649957519116398</v>
      </c>
      <c r="F1257" s="22" t="s">
        <v>46</v>
      </c>
      <c r="G1257" s="25" t="s">
        <v>164</v>
      </c>
    </row>
    <row r="1258" spans="1:7">
      <c r="A1258" s="21" t="s">
        <v>1362</v>
      </c>
      <c r="B1258" s="22" t="s">
        <v>56</v>
      </c>
      <c r="C1258" s="22" t="s">
        <v>124</v>
      </c>
      <c r="D1258" s="23">
        <v>1</v>
      </c>
      <c r="E1258" s="24">
        <f>SUM($D$2:D1258)/SUM($D$2:$D$2846)</f>
        <v>0.86508071367884454</v>
      </c>
      <c r="F1258" s="22" t="s">
        <v>46</v>
      </c>
      <c r="G1258" s="25" t="s">
        <v>125</v>
      </c>
    </row>
    <row r="1259" spans="1:7">
      <c r="A1259" s="21" t="s">
        <v>1363</v>
      </c>
      <c r="B1259" s="22" t="s">
        <v>56</v>
      </c>
      <c r="C1259" s="22" t="s">
        <v>124</v>
      </c>
      <c r="D1259" s="23">
        <v>1</v>
      </c>
      <c r="E1259" s="24">
        <f>SUM($D$2:D1259)/SUM($D$2:$D$2846)</f>
        <v>0.86516567544604928</v>
      </c>
      <c r="F1259" s="22" t="s">
        <v>46</v>
      </c>
      <c r="G1259" s="25" t="s">
        <v>125</v>
      </c>
    </row>
    <row r="1260" spans="1:7">
      <c r="A1260" s="21" t="s">
        <v>1364</v>
      </c>
      <c r="B1260" s="26" t="s">
        <v>163</v>
      </c>
      <c r="C1260" s="22" t="s">
        <v>45</v>
      </c>
      <c r="D1260" s="23">
        <v>1</v>
      </c>
      <c r="E1260" s="24">
        <f>SUM($D$2:D1260)/SUM($D$2:$D$2846)</f>
        <v>0.86525063721325401</v>
      </c>
      <c r="F1260" s="22" t="s">
        <v>46</v>
      </c>
      <c r="G1260" s="25" t="s">
        <v>164</v>
      </c>
    </row>
    <row r="1261" spans="1:7">
      <c r="A1261" s="21" t="s">
        <v>1365</v>
      </c>
      <c r="B1261" s="26" t="s">
        <v>163</v>
      </c>
      <c r="C1261" s="22" t="s">
        <v>45</v>
      </c>
      <c r="D1261" s="23">
        <v>1</v>
      </c>
      <c r="E1261" s="24">
        <f>SUM($D$2:D1261)/SUM($D$2:$D$2846)</f>
        <v>0.86533559898045875</v>
      </c>
      <c r="F1261" s="22" t="s">
        <v>46</v>
      </c>
      <c r="G1261" s="25" t="s">
        <v>164</v>
      </c>
    </row>
    <row r="1262" spans="1:7">
      <c r="A1262" s="21" t="s">
        <v>1366</v>
      </c>
      <c r="B1262" s="26" t="s">
        <v>163</v>
      </c>
      <c r="C1262" s="22" t="s">
        <v>45</v>
      </c>
      <c r="D1262" s="23">
        <v>1</v>
      </c>
      <c r="E1262" s="24">
        <f>SUM($D$2:D1262)/SUM($D$2:$D$2846)</f>
        <v>0.8654205607476636</v>
      </c>
      <c r="F1262" s="22" t="s">
        <v>46</v>
      </c>
      <c r="G1262" s="25" t="s">
        <v>164</v>
      </c>
    </row>
    <row r="1263" spans="1:7">
      <c r="A1263" s="21" t="s">
        <v>1367</v>
      </c>
      <c r="B1263" s="26" t="s">
        <v>163</v>
      </c>
      <c r="C1263" s="22" t="s">
        <v>45</v>
      </c>
      <c r="D1263" s="23">
        <v>1</v>
      </c>
      <c r="E1263" s="24">
        <f>SUM($D$2:D1263)/SUM($D$2:$D$2846)</f>
        <v>0.86550552251486834</v>
      </c>
      <c r="F1263" s="22" t="s">
        <v>46</v>
      </c>
      <c r="G1263" s="25" t="s">
        <v>164</v>
      </c>
    </row>
    <row r="1264" spans="1:7">
      <c r="A1264" s="21" t="s">
        <v>1368</v>
      </c>
      <c r="B1264" s="26" t="s">
        <v>163</v>
      </c>
      <c r="C1264" s="22" t="s">
        <v>45</v>
      </c>
      <c r="D1264" s="23">
        <v>1</v>
      </c>
      <c r="E1264" s="24">
        <f>SUM($D$2:D1264)/SUM($D$2:$D$2846)</f>
        <v>0.86559048428207308</v>
      </c>
      <c r="F1264" s="22" t="s">
        <v>46</v>
      </c>
      <c r="G1264" s="25" t="s">
        <v>164</v>
      </c>
    </row>
    <row r="1265" spans="1:7">
      <c r="A1265" s="21" t="s">
        <v>1369</v>
      </c>
      <c r="B1265" s="26" t="s">
        <v>163</v>
      </c>
      <c r="C1265" s="22" t="s">
        <v>45</v>
      </c>
      <c r="D1265" s="23">
        <v>1</v>
      </c>
      <c r="E1265" s="24">
        <f>SUM($D$2:D1265)/SUM($D$2:$D$2846)</f>
        <v>0.86567544604927782</v>
      </c>
      <c r="F1265" s="22" t="s">
        <v>46</v>
      </c>
      <c r="G1265" s="25" t="s">
        <v>164</v>
      </c>
    </row>
    <row r="1266" spans="1:7">
      <c r="A1266" s="21" t="s">
        <v>1370</v>
      </c>
      <c r="B1266" s="26" t="s">
        <v>163</v>
      </c>
      <c r="C1266" s="22" t="s">
        <v>45</v>
      </c>
      <c r="D1266" s="23">
        <v>1</v>
      </c>
      <c r="E1266" s="24">
        <f>SUM($D$2:D1266)/SUM($D$2:$D$2846)</f>
        <v>0.86576040781648256</v>
      </c>
      <c r="F1266" s="22" t="s">
        <v>46</v>
      </c>
      <c r="G1266" s="25" t="s">
        <v>164</v>
      </c>
    </row>
    <row r="1267" spans="1:7">
      <c r="A1267" s="21" t="s">
        <v>1371</v>
      </c>
      <c r="B1267" s="26" t="s">
        <v>163</v>
      </c>
      <c r="C1267" s="22" t="s">
        <v>45</v>
      </c>
      <c r="D1267" s="23">
        <v>1</v>
      </c>
      <c r="E1267" s="24">
        <f>SUM($D$2:D1267)/SUM($D$2:$D$2846)</f>
        <v>0.8658453695836873</v>
      </c>
      <c r="F1267" s="22" t="s">
        <v>46</v>
      </c>
      <c r="G1267" s="25" t="s">
        <v>164</v>
      </c>
    </row>
    <row r="1268" spans="1:7">
      <c r="A1268" s="21" t="s">
        <v>1372</v>
      </c>
      <c r="B1268" s="26" t="s">
        <v>163</v>
      </c>
      <c r="C1268" s="22" t="s">
        <v>45</v>
      </c>
      <c r="D1268" s="23">
        <v>1</v>
      </c>
      <c r="E1268" s="24">
        <f>SUM($D$2:D1268)/SUM($D$2:$D$2846)</f>
        <v>0.86593033135089215</v>
      </c>
      <c r="F1268" s="22" t="s">
        <v>46</v>
      </c>
      <c r="G1268" s="25" t="s">
        <v>164</v>
      </c>
    </row>
    <row r="1269" spans="1:7">
      <c r="A1269" s="21" t="s">
        <v>1373</v>
      </c>
      <c r="B1269" s="26" t="s">
        <v>163</v>
      </c>
      <c r="C1269" s="22" t="s">
        <v>45</v>
      </c>
      <c r="D1269" s="23">
        <v>1</v>
      </c>
      <c r="E1269" s="24">
        <f>SUM($D$2:D1269)/SUM($D$2:$D$2846)</f>
        <v>0.86601529311809688</v>
      </c>
      <c r="F1269" s="22" t="s">
        <v>46</v>
      </c>
      <c r="G1269" s="25" t="s">
        <v>164</v>
      </c>
    </row>
    <row r="1270" spans="1:7">
      <c r="A1270" s="21" t="s">
        <v>1374</v>
      </c>
      <c r="B1270" s="26" t="s">
        <v>163</v>
      </c>
      <c r="C1270" s="22" t="s">
        <v>45</v>
      </c>
      <c r="D1270" s="23">
        <v>1</v>
      </c>
      <c r="E1270" s="24">
        <f>SUM($D$2:D1270)/SUM($D$2:$D$2846)</f>
        <v>0.86610025488530162</v>
      </c>
      <c r="F1270" s="22" t="s">
        <v>46</v>
      </c>
      <c r="G1270" s="25" t="s">
        <v>164</v>
      </c>
    </row>
    <row r="1271" spans="1:7">
      <c r="A1271" s="21" t="s">
        <v>1375</v>
      </c>
      <c r="B1271" s="26" t="s">
        <v>163</v>
      </c>
      <c r="C1271" s="22" t="s">
        <v>45</v>
      </c>
      <c r="D1271" s="23">
        <v>1</v>
      </c>
      <c r="E1271" s="24">
        <f>SUM($D$2:D1271)/SUM($D$2:$D$2846)</f>
        <v>0.86618521665250636</v>
      </c>
      <c r="F1271" s="22" t="s">
        <v>46</v>
      </c>
      <c r="G1271" s="25" t="s">
        <v>164</v>
      </c>
    </row>
    <row r="1272" spans="1:7">
      <c r="A1272" s="21" t="s">
        <v>1376</v>
      </c>
      <c r="B1272" s="26" t="s">
        <v>163</v>
      </c>
      <c r="C1272" s="22" t="s">
        <v>45</v>
      </c>
      <c r="D1272" s="23">
        <v>1</v>
      </c>
      <c r="E1272" s="24">
        <f>SUM($D$2:D1272)/SUM($D$2:$D$2846)</f>
        <v>0.8662701784197111</v>
      </c>
      <c r="F1272" s="22" t="s">
        <v>46</v>
      </c>
      <c r="G1272" s="25" t="s">
        <v>164</v>
      </c>
    </row>
    <row r="1273" spans="1:7">
      <c r="A1273" s="21" t="s">
        <v>1377</v>
      </c>
      <c r="B1273" s="26" t="s">
        <v>163</v>
      </c>
      <c r="C1273" s="22" t="s">
        <v>45</v>
      </c>
      <c r="D1273" s="23">
        <v>1</v>
      </c>
      <c r="E1273" s="24">
        <f>SUM($D$2:D1273)/SUM($D$2:$D$2846)</f>
        <v>0.86635514018691584</v>
      </c>
      <c r="F1273" s="22" t="s">
        <v>46</v>
      </c>
      <c r="G1273" s="25" t="s">
        <v>164</v>
      </c>
    </row>
    <row r="1274" spans="1:7">
      <c r="A1274" s="21" t="s">
        <v>1378</v>
      </c>
      <c r="B1274" s="26" t="s">
        <v>163</v>
      </c>
      <c r="C1274" s="22" t="s">
        <v>45</v>
      </c>
      <c r="D1274" s="23">
        <v>1</v>
      </c>
      <c r="E1274" s="24">
        <f>SUM($D$2:D1274)/SUM($D$2:$D$2846)</f>
        <v>0.86644010195412069</v>
      </c>
      <c r="F1274" s="22" t="s">
        <v>46</v>
      </c>
      <c r="G1274" s="25" t="s">
        <v>164</v>
      </c>
    </row>
    <row r="1275" spans="1:7">
      <c r="A1275" s="21" t="s">
        <v>1379</v>
      </c>
      <c r="B1275" s="26" t="s">
        <v>163</v>
      </c>
      <c r="C1275" s="22" t="s">
        <v>45</v>
      </c>
      <c r="D1275" s="23">
        <v>1</v>
      </c>
      <c r="E1275" s="24">
        <f>SUM($D$2:D1275)/SUM($D$2:$D$2846)</f>
        <v>0.86652506372132543</v>
      </c>
      <c r="F1275" s="22" t="s">
        <v>46</v>
      </c>
      <c r="G1275" s="25" t="s">
        <v>164</v>
      </c>
    </row>
    <row r="1276" spans="1:7">
      <c r="A1276" s="21" t="s">
        <v>1380</v>
      </c>
      <c r="B1276" s="26" t="s">
        <v>163</v>
      </c>
      <c r="C1276" s="22" t="s">
        <v>45</v>
      </c>
      <c r="D1276" s="23">
        <v>1</v>
      </c>
      <c r="E1276" s="24">
        <f>SUM($D$2:D1276)/SUM($D$2:$D$2846)</f>
        <v>0.86661002548853017</v>
      </c>
      <c r="F1276" s="22" t="s">
        <v>46</v>
      </c>
      <c r="G1276" s="25" t="s">
        <v>164</v>
      </c>
    </row>
    <row r="1277" spans="1:7">
      <c r="A1277" s="21" t="s">
        <v>1381</v>
      </c>
      <c r="B1277" s="26" t="s">
        <v>163</v>
      </c>
      <c r="C1277" s="22" t="s">
        <v>45</v>
      </c>
      <c r="D1277" s="23">
        <v>1</v>
      </c>
      <c r="E1277" s="24">
        <f>SUM($D$2:D1277)/SUM($D$2:$D$2846)</f>
        <v>0.86669498725573491</v>
      </c>
      <c r="F1277" s="22" t="s">
        <v>46</v>
      </c>
      <c r="G1277" s="25" t="s">
        <v>164</v>
      </c>
    </row>
    <row r="1278" spans="1:7">
      <c r="A1278" s="21" t="s">
        <v>1382</v>
      </c>
      <c r="B1278" s="26" t="s">
        <v>163</v>
      </c>
      <c r="C1278" s="22" t="s">
        <v>45</v>
      </c>
      <c r="D1278" s="23">
        <v>1</v>
      </c>
      <c r="E1278" s="24">
        <f>SUM($D$2:D1278)/SUM($D$2:$D$2846)</f>
        <v>0.86677994902293964</v>
      </c>
      <c r="F1278" s="22" t="s">
        <v>46</v>
      </c>
      <c r="G1278" s="25" t="s">
        <v>164</v>
      </c>
    </row>
    <row r="1279" spans="1:7">
      <c r="A1279" s="21" t="s">
        <v>1383</v>
      </c>
      <c r="B1279" s="26" t="s">
        <v>163</v>
      </c>
      <c r="C1279" s="22" t="s">
        <v>45</v>
      </c>
      <c r="D1279" s="23">
        <v>1</v>
      </c>
      <c r="E1279" s="24">
        <f>SUM($D$2:D1279)/SUM($D$2:$D$2846)</f>
        <v>0.86686491079014438</v>
      </c>
      <c r="F1279" s="22" t="s">
        <v>46</v>
      </c>
      <c r="G1279" s="25" t="s">
        <v>164</v>
      </c>
    </row>
    <row r="1280" spans="1:7">
      <c r="A1280" s="21" t="s">
        <v>1384</v>
      </c>
      <c r="B1280" s="26" t="s">
        <v>163</v>
      </c>
      <c r="C1280" s="22" t="s">
        <v>45</v>
      </c>
      <c r="D1280" s="23">
        <v>1</v>
      </c>
      <c r="E1280" s="24">
        <f>SUM($D$2:D1280)/SUM($D$2:$D$2846)</f>
        <v>0.86694987255734923</v>
      </c>
      <c r="F1280" s="22" t="s">
        <v>46</v>
      </c>
      <c r="G1280" s="25" t="s">
        <v>164</v>
      </c>
    </row>
    <row r="1281" spans="1:7">
      <c r="A1281" s="21" t="s">
        <v>1385</v>
      </c>
      <c r="B1281" s="26" t="s">
        <v>163</v>
      </c>
      <c r="C1281" s="22" t="s">
        <v>45</v>
      </c>
      <c r="D1281" s="23">
        <v>1</v>
      </c>
      <c r="E1281" s="24">
        <f>SUM($D$2:D1281)/SUM($D$2:$D$2846)</f>
        <v>0.86703483432455397</v>
      </c>
      <c r="F1281" s="22" t="s">
        <v>46</v>
      </c>
      <c r="G1281" s="25" t="s">
        <v>164</v>
      </c>
    </row>
    <row r="1282" spans="1:7">
      <c r="A1282" s="21" t="s">
        <v>1386</v>
      </c>
      <c r="B1282" s="26" t="s">
        <v>163</v>
      </c>
      <c r="C1282" s="22" t="s">
        <v>45</v>
      </c>
      <c r="D1282" s="23">
        <v>1</v>
      </c>
      <c r="E1282" s="24">
        <f>SUM($D$2:D1282)/SUM($D$2:$D$2846)</f>
        <v>0.86711979609175871</v>
      </c>
      <c r="F1282" s="22" t="s">
        <v>46</v>
      </c>
      <c r="G1282" s="25" t="s">
        <v>164</v>
      </c>
    </row>
    <row r="1283" spans="1:7">
      <c r="A1283" s="21" t="s">
        <v>1387</v>
      </c>
      <c r="B1283" s="26" t="s">
        <v>163</v>
      </c>
      <c r="C1283" s="22" t="s">
        <v>45</v>
      </c>
      <c r="D1283" s="23">
        <v>1</v>
      </c>
      <c r="E1283" s="24">
        <f>SUM($D$2:D1283)/SUM($D$2:$D$2846)</f>
        <v>0.86720475785896345</v>
      </c>
      <c r="F1283" s="22" t="s">
        <v>46</v>
      </c>
      <c r="G1283" s="25" t="s">
        <v>164</v>
      </c>
    </row>
    <row r="1284" spans="1:7">
      <c r="A1284" s="21" t="s">
        <v>1388</v>
      </c>
      <c r="B1284" s="26" t="s">
        <v>163</v>
      </c>
      <c r="C1284" s="22" t="s">
        <v>45</v>
      </c>
      <c r="D1284" s="23">
        <v>1</v>
      </c>
      <c r="E1284" s="24">
        <f>SUM($D$2:D1284)/SUM($D$2:$D$2846)</f>
        <v>0.86728971962616819</v>
      </c>
      <c r="F1284" s="22" t="s">
        <v>46</v>
      </c>
      <c r="G1284" s="25" t="s">
        <v>164</v>
      </c>
    </row>
    <row r="1285" spans="1:7">
      <c r="A1285" s="21" t="s">
        <v>1389</v>
      </c>
      <c r="B1285" s="26" t="s">
        <v>163</v>
      </c>
      <c r="C1285" s="22" t="s">
        <v>45</v>
      </c>
      <c r="D1285" s="23">
        <v>1</v>
      </c>
      <c r="E1285" s="24">
        <f>SUM($D$2:D1285)/SUM($D$2:$D$2846)</f>
        <v>0.86737468139337304</v>
      </c>
      <c r="F1285" s="22" t="s">
        <v>46</v>
      </c>
      <c r="G1285" s="25" t="s">
        <v>164</v>
      </c>
    </row>
    <row r="1286" spans="1:7">
      <c r="A1286" s="21" t="s">
        <v>1390</v>
      </c>
      <c r="B1286" s="26" t="s">
        <v>163</v>
      </c>
      <c r="C1286" s="22" t="s">
        <v>45</v>
      </c>
      <c r="D1286" s="23">
        <v>1</v>
      </c>
      <c r="E1286" s="24">
        <f>SUM($D$2:D1286)/SUM($D$2:$D$2846)</f>
        <v>0.86745964316057778</v>
      </c>
      <c r="F1286" s="22" t="s">
        <v>46</v>
      </c>
      <c r="G1286" s="25" t="s">
        <v>164</v>
      </c>
    </row>
    <row r="1287" spans="1:7">
      <c r="A1287" s="21" t="s">
        <v>88</v>
      </c>
      <c r="B1287" s="26" t="s">
        <v>163</v>
      </c>
      <c r="C1287" s="22" t="s">
        <v>73</v>
      </c>
      <c r="D1287" s="23">
        <v>1</v>
      </c>
      <c r="E1287" s="24">
        <f>SUM($D$2:D1287)/SUM($D$2:$D$2846)</f>
        <v>0.86754460492778251</v>
      </c>
      <c r="F1287" s="22" t="s">
        <v>46</v>
      </c>
      <c r="G1287" s="25" t="s">
        <v>74</v>
      </c>
    </row>
    <row r="1288" spans="1:7">
      <c r="A1288" s="21" t="s">
        <v>1391</v>
      </c>
      <c r="B1288" s="26" t="s">
        <v>163</v>
      </c>
      <c r="C1288" s="22" t="s">
        <v>45</v>
      </c>
      <c r="D1288" s="23">
        <v>1</v>
      </c>
      <c r="E1288" s="24">
        <f>SUM($D$2:D1288)/SUM($D$2:$D$2846)</f>
        <v>0.86762956669498725</v>
      </c>
      <c r="F1288" s="22" t="s">
        <v>46</v>
      </c>
      <c r="G1288" s="25" t="s">
        <v>164</v>
      </c>
    </row>
    <row r="1289" spans="1:7">
      <c r="A1289" s="21" t="s">
        <v>1392</v>
      </c>
      <c r="B1289" s="26" t="s">
        <v>163</v>
      </c>
      <c r="C1289" s="22" t="s">
        <v>45</v>
      </c>
      <c r="D1289" s="23">
        <v>1</v>
      </c>
      <c r="E1289" s="24">
        <f>SUM($D$2:D1289)/SUM($D$2:$D$2846)</f>
        <v>0.86771452846219199</v>
      </c>
      <c r="F1289" s="22" t="s">
        <v>46</v>
      </c>
      <c r="G1289" s="25" t="s">
        <v>164</v>
      </c>
    </row>
    <row r="1290" spans="1:7">
      <c r="A1290" s="21" t="s">
        <v>1393</v>
      </c>
      <c r="B1290" s="26" t="s">
        <v>163</v>
      </c>
      <c r="C1290" s="22" t="s">
        <v>45</v>
      </c>
      <c r="D1290" s="23">
        <v>1</v>
      </c>
      <c r="E1290" s="24">
        <f>SUM($D$2:D1290)/SUM($D$2:$D$2846)</f>
        <v>0.86779949022939673</v>
      </c>
      <c r="F1290" s="22" t="s">
        <v>46</v>
      </c>
      <c r="G1290" s="25" t="s">
        <v>164</v>
      </c>
    </row>
    <row r="1291" spans="1:7">
      <c r="A1291" s="21" t="s">
        <v>1394</v>
      </c>
      <c r="B1291" s="26" t="s">
        <v>163</v>
      </c>
      <c r="C1291" s="22" t="s">
        <v>45</v>
      </c>
      <c r="D1291" s="23">
        <v>1</v>
      </c>
      <c r="E1291" s="24">
        <f>SUM($D$2:D1291)/SUM($D$2:$D$2846)</f>
        <v>0.86788445199660158</v>
      </c>
      <c r="F1291" s="22" t="s">
        <v>46</v>
      </c>
      <c r="G1291" s="25" t="s">
        <v>164</v>
      </c>
    </row>
    <row r="1292" spans="1:7">
      <c r="A1292" s="21" t="s">
        <v>1395</v>
      </c>
      <c r="B1292" s="26" t="s">
        <v>163</v>
      </c>
      <c r="C1292" s="22" t="s">
        <v>45</v>
      </c>
      <c r="D1292" s="23">
        <v>1</v>
      </c>
      <c r="E1292" s="24">
        <f>SUM($D$2:D1292)/SUM($D$2:$D$2846)</f>
        <v>0.86796941376380632</v>
      </c>
      <c r="F1292" s="22" t="s">
        <v>46</v>
      </c>
      <c r="G1292" s="25" t="s">
        <v>164</v>
      </c>
    </row>
    <row r="1293" spans="1:7">
      <c r="A1293" s="21" t="s">
        <v>1396</v>
      </c>
      <c r="B1293" s="26" t="s">
        <v>163</v>
      </c>
      <c r="C1293" s="22" t="s">
        <v>45</v>
      </c>
      <c r="D1293" s="23">
        <v>1</v>
      </c>
      <c r="E1293" s="24">
        <f>SUM($D$2:D1293)/SUM($D$2:$D$2846)</f>
        <v>0.86805437553101106</v>
      </c>
      <c r="F1293" s="22" t="s">
        <v>46</v>
      </c>
      <c r="G1293" s="25" t="s">
        <v>164</v>
      </c>
    </row>
    <row r="1294" spans="1:7">
      <c r="A1294" s="21" t="s">
        <v>1397</v>
      </c>
      <c r="B1294" s="26" t="s">
        <v>163</v>
      </c>
      <c r="C1294" s="22" t="s">
        <v>45</v>
      </c>
      <c r="D1294" s="23">
        <v>1</v>
      </c>
      <c r="E1294" s="24">
        <f>SUM($D$2:D1294)/SUM($D$2:$D$2846)</f>
        <v>0.8681393372982158</v>
      </c>
      <c r="F1294" s="22" t="s">
        <v>46</v>
      </c>
      <c r="G1294" s="25" t="s">
        <v>164</v>
      </c>
    </row>
    <row r="1295" spans="1:7">
      <c r="A1295" s="21" t="s">
        <v>1398</v>
      </c>
      <c r="B1295" s="22" t="s">
        <v>56</v>
      </c>
      <c r="C1295" s="22" t="s">
        <v>124</v>
      </c>
      <c r="D1295" s="23">
        <v>1</v>
      </c>
      <c r="E1295" s="24">
        <f>SUM($D$2:D1295)/SUM($D$2:$D$2846)</f>
        <v>0.86822429906542054</v>
      </c>
      <c r="F1295" s="22" t="s">
        <v>46</v>
      </c>
      <c r="G1295" s="25" t="s">
        <v>125</v>
      </c>
    </row>
    <row r="1296" spans="1:7">
      <c r="A1296" s="21" t="s">
        <v>1399</v>
      </c>
      <c r="B1296" s="22" t="s">
        <v>56</v>
      </c>
      <c r="C1296" s="22" t="s">
        <v>124</v>
      </c>
      <c r="D1296" s="23">
        <v>1</v>
      </c>
      <c r="E1296" s="24">
        <f>SUM($D$2:D1296)/SUM($D$2:$D$2846)</f>
        <v>0.86830926083262527</v>
      </c>
      <c r="F1296" s="22" t="s">
        <v>46</v>
      </c>
      <c r="G1296" s="25" t="s">
        <v>125</v>
      </c>
    </row>
    <row r="1297" spans="1:7">
      <c r="A1297" s="21" t="s">
        <v>1400</v>
      </c>
      <c r="B1297" s="22" t="s">
        <v>56</v>
      </c>
      <c r="C1297" s="22" t="s">
        <v>124</v>
      </c>
      <c r="D1297" s="23">
        <v>1</v>
      </c>
      <c r="E1297" s="24">
        <f>SUM($D$2:D1297)/SUM($D$2:$D$2846)</f>
        <v>0.86839422259983012</v>
      </c>
      <c r="F1297" s="22" t="s">
        <v>46</v>
      </c>
      <c r="G1297" s="25" t="s">
        <v>125</v>
      </c>
    </row>
    <row r="1298" spans="1:7">
      <c r="A1298" s="21" t="s">
        <v>1401</v>
      </c>
      <c r="B1298" s="22" t="s">
        <v>56</v>
      </c>
      <c r="C1298" s="22" t="s">
        <v>124</v>
      </c>
      <c r="D1298" s="23">
        <v>1</v>
      </c>
      <c r="E1298" s="24">
        <f>SUM($D$2:D1298)/SUM($D$2:$D$2846)</f>
        <v>0.86847918436703486</v>
      </c>
      <c r="F1298" s="22" t="s">
        <v>46</v>
      </c>
      <c r="G1298" s="25" t="s">
        <v>125</v>
      </c>
    </row>
    <row r="1299" spans="1:7">
      <c r="A1299" s="21" t="s">
        <v>1402</v>
      </c>
      <c r="B1299" s="22" t="s">
        <v>56</v>
      </c>
      <c r="C1299" s="22" t="s">
        <v>124</v>
      </c>
      <c r="D1299" s="23">
        <v>1</v>
      </c>
      <c r="E1299" s="24">
        <f>SUM($D$2:D1299)/SUM($D$2:$D$2846)</f>
        <v>0.8685641461342396</v>
      </c>
      <c r="F1299" s="22" t="s">
        <v>46</v>
      </c>
      <c r="G1299" s="25" t="s">
        <v>125</v>
      </c>
    </row>
    <row r="1300" spans="1:7">
      <c r="A1300" s="21" t="s">
        <v>1403</v>
      </c>
      <c r="B1300" s="22" t="s">
        <v>56</v>
      </c>
      <c r="C1300" s="22" t="s">
        <v>124</v>
      </c>
      <c r="D1300" s="23">
        <v>1</v>
      </c>
      <c r="E1300" s="24">
        <f>SUM($D$2:D1300)/SUM($D$2:$D$2846)</f>
        <v>0.86864910790144434</v>
      </c>
      <c r="F1300" s="22" t="s">
        <v>46</v>
      </c>
      <c r="G1300" s="25" t="s">
        <v>125</v>
      </c>
    </row>
    <row r="1301" spans="1:7">
      <c r="A1301" s="21" t="s">
        <v>1404</v>
      </c>
      <c r="B1301" s="26" t="s">
        <v>163</v>
      </c>
      <c r="C1301" s="22" t="s">
        <v>45</v>
      </c>
      <c r="D1301" s="23">
        <v>1</v>
      </c>
      <c r="E1301" s="24">
        <f>SUM($D$2:D1301)/SUM($D$2:$D$2846)</f>
        <v>0.86873406966864908</v>
      </c>
      <c r="F1301" s="22" t="s">
        <v>46</v>
      </c>
      <c r="G1301" s="25" t="s">
        <v>164</v>
      </c>
    </row>
    <row r="1302" spans="1:7">
      <c r="A1302" s="21" t="s">
        <v>1405</v>
      </c>
      <c r="B1302" s="22" t="s">
        <v>56</v>
      </c>
      <c r="C1302" s="22" t="s">
        <v>124</v>
      </c>
      <c r="D1302" s="23">
        <v>1</v>
      </c>
      <c r="E1302" s="24">
        <f>SUM($D$2:D1302)/SUM($D$2:$D$2846)</f>
        <v>0.86881903143585382</v>
      </c>
      <c r="F1302" s="22" t="s">
        <v>46</v>
      </c>
      <c r="G1302" s="25" t="s">
        <v>125</v>
      </c>
    </row>
    <row r="1303" spans="1:7">
      <c r="A1303" s="21" t="s">
        <v>1406</v>
      </c>
      <c r="B1303" s="26" t="s">
        <v>163</v>
      </c>
      <c r="C1303" s="22" t="s">
        <v>45</v>
      </c>
      <c r="D1303" s="23">
        <v>1</v>
      </c>
      <c r="E1303" s="24">
        <f>SUM($D$2:D1303)/SUM($D$2:$D$2846)</f>
        <v>0.86890399320305867</v>
      </c>
      <c r="F1303" s="22" t="s">
        <v>46</v>
      </c>
      <c r="G1303" s="25" t="s">
        <v>164</v>
      </c>
    </row>
    <row r="1304" spans="1:7">
      <c r="A1304" s="21" t="s">
        <v>1407</v>
      </c>
      <c r="B1304" s="26" t="s">
        <v>163</v>
      </c>
      <c r="C1304" s="22" t="s">
        <v>45</v>
      </c>
      <c r="D1304" s="23">
        <v>1</v>
      </c>
      <c r="E1304" s="24">
        <f>SUM($D$2:D1304)/SUM($D$2:$D$2846)</f>
        <v>0.86898895497026341</v>
      </c>
      <c r="F1304" s="22" t="s">
        <v>46</v>
      </c>
      <c r="G1304" s="25" t="s">
        <v>164</v>
      </c>
    </row>
    <row r="1305" spans="1:7">
      <c r="A1305" s="21" t="s">
        <v>1408</v>
      </c>
      <c r="B1305" s="26" t="s">
        <v>163</v>
      </c>
      <c r="C1305" s="22" t="s">
        <v>45</v>
      </c>
      <c r="D1305" s="23">
        <v>1</v>
      </c>
      <c r="E1305" s="24">
        <f>SUM($D$2:D1305)/SUM($D$2:$D$2846)</f>
        <v>0.86907391673746814</v>
      </c>
      <c r="F1305" s="22" t="s">
        <v>46</v>
      </c>
      <c r="G1305" s="25" t="s">
        <v>164</v>
      </c>
    </row>
    <row r="1306" spans="1:7">
      <c r="A1306" s="21" t="s">
        <v>1409</v>
      </c>
      <c r="B1306" s="26" t="s">
        <v>163</v>
      </c>
      <c r="C1306" s="22" t="s">
        <v>45</v>
      </c>
      <c r="D1306" s="23">
        <v>1</v>
      </c>
      <c r="E1306" s="24">
        <f>SUM($D$2:D1306)/SUM($D$2:$D$2846)</f>
        <v>0.86915887850467288</v>
      </c>
      <c r="F1306" s="22" t="s">
        <v>46</v>
      </c>
      <c r="G1306" s="25" t="s">
        <v>164</v>
      </c>
    </row>
    <row r="1307" spans="1:7">
      <c r="A1307" s="21" t="s">
        <v>1410</v>
      </c>
      <c r="B1307" s="26" t="s">
        <v>163</v>
      </c>
      <c r="C1307" s="22" t="s">
        <v>45</v>
      </c>
      <c r="D1307" s="23">
        <v>1</v>
      </c>
      <c r="E1307" s="24">
        <f>SUM($D$2:D1307)/SUM($D$2:$D$2846)</f>
        <v>0.86924384027187762</v>
      </c>
      <c r="F1307" s="22" t="s">
        <v>46</v>
      </c>
      <c r="G1307" s="25" t="s">
        <v>164</v>
      </c>
    </row>
    <row r="1308" spans="1:7">
      <c r="A1308" s="21" t="s">
        <v>1411</v>
      </c>
      <c r="B1308" s="22" t="s">
        <v>56</v>
      </c>
      <c r="C1308" s="22" t="s">
        <v>124</v>
      </c>
      <c r="D1308" s="23">
        <v>1</v>
      </c>
      <c r="E1308" s="24">
        <f>SUM($D$2:D1308)/SUM($D$2:$D$2846)</f>
        <v>0.86932880203908236</v>
      </c>
      <c r="F1308" s="22" t="s">
        <v>46</v>
      </c>
      <c r="G1308" s="25" t="s">
        <v>125</v>
      </c>
    </row>
    <row r="1309" spans="1:7">
      <c r="A1309" s="21" t="s">
        <v>1412</v>
      </c>
      <c r="B1309" s="22" t="s">
        <v>56</v>
      </c>
      <c r="C1309" s="22" t="s">
        <v>124</v>
      </c>
      <c r="D1309" s="23">
        <v>1</v>
      </c>
      <c r="E1309" s="24">
        <f>SUM($D$2:D1309)/SUM($D$2:$D$2846)</f>
        <v>0.86941376380628721</v>
      </c>
      <c r="F1309" s="22" t="s">
        <v>46</v>
      </c>
      <c r="G1309" s="25" t="s">
        <v>125</v>
      </c>
    </row>
    <row r="1310" spans="1:7">
      <c r="A1310" s="21" t="s">
        <v>1413</v>
      </c>
      <c r="B1310" s="22" t="s">
        <v>56</v>
      </c>
      <c r="C1310" s="22" t="s">
        <v>124</v>
      </c>
      <c r="D1310" s="23">
        <v>1</v>
      </c>
      <c r="E1310" s="24">
        <f>SUM($D$2:D1310)/SUM($D$2:$D$2846)</f>
        <v>0.86949872557349195</v>
      </c>
      <c r="F1310" s="22" t="s">
        <v>46</v>
      </c>
      <c r="G1310" s="25" t="s">
        <v>125</v>
      </c>
    </row>
    <row r="1311" spans="1:7">
      <c r="A1311" s="21" t="s">
        <v>1414</v>
      </c>
      <c r="B1311" s="22" t="s">
        <v>56</v>
      </c>
      <c r="C1311" s="22" t="s">
        <v>124</v>
      </c>
      <c r="D1311" s="23">
        <v>1</v>
      </c>
      <c r="E1311" s="24">
        <f>SUM($D$2:D1311)/SUM($D$2:$D$2846)</f>
        <v>0.86958368734069669</v>
      </c>
      <c r="F1311" s="22" t="s">
        <v>46</v>
      </c>
      <c r="G1311" s="25" t="s">
        <v>125</v>
      </c>
    </row>
    <row r="1312" spans="1:7">
      <c r="A1312" s="21" t="s">
        <v>1415</v>
      </c>
      <c r="B1312" s="22" t="s">
        <v>56</v>
      </c>
      <c r="C1312" s="22" t="s">
        <v>124</v>
      </c>
      <c r="D1312" s="23">
        <v>1</v>
      </c>
      <c r="E1312" s="24">
        <f>SUM($D$2:D1312)/SUM($D$2:$D$2846)</f>
        <v>0.86966864910790143</v>
      </c>
      <c r="F1312" s="22" t="s">
        <v>46</v>
      </c>
      <c r="G1312" s="25" t="s">
        <v>125</v>
      </c>
    </row>
    <row r="1313" spans="1:7">
      <c r="A1313" s="21" t="s">
        <v>1416</v>
      </c>
      <c r="B1313" s="22" t="s">
        <v>56</v>
      </c>
      <c r="C1313" s="22" t="s">
        <v>124</v>
      </c>
      <c r="D1313" s="23">
        <v>1</v>
      </c>
      <c r="E1313" s="24">
        <f>SUM($D$2:D1313)/SUM($D$2:$D$2846)</f>
        <v>0.86975361087510616</v>
      </c>
      <c r="F1313" s="22" t="s">
        <v>46</v>
      </c>
      <c r="G1313" s="25" t="s">
        <v>125</v>
      </c>
    </row>
    <row r="1314" spans="1:7">
      <c r="A1314" s="21" t="s">
        <v>1417</v>
      </c>
      <c r="B1314" s="22" t="s">
        <v>56</v>
      </c>
      <c r="C1314" s="22" t="s">
        <v>124</v>
      </c>
      <c r="D1314" s="23">
        <v>1</v>
      </c>
      <c r="E1314" s="24">
        <f>SUM($D$2:D1314)/SUM($D$2:$D$2846)</f>
        <v>0.86983857264231101</v>
      </c>
      <c r="F1314" s="22" t="s">
        <v>46</v>
      </c>
      <c r="G1314" s="25" t="s">
        <v>125</v>
      </c>
    </row>
    <row r="1315" spans="1:7">
      <c r="A1315" s="21" t="s">
        <v>1418</v>
      </c>
      <c r="B1315" s="22" t="s">
        <v>56</v>
      </c>
      <c r="C1315" s="22" t="s">
        <v>124</v>
      </c>
      <c r="D1315" s="23">
        <v>1</v>
      </c>
      <c r="E1315" s="24">
        <f>SUM($D$2:D1315)/SUM($D$2:$D$2846)</f>
        <v>0.86992353440951575</v>
      </c>
      <c r="F1315" s="22" t="s">
        <v>46</v>
      </c>
      <c r="G1315" s="25" t="s">
        <v>125</v>
      </c>
    </row>
    <row r="1316" spans="1:7">
      <c r="A1316" s="21" t="s">
        <v>1419</v>
      </c>
      <c r="B1316" s="22" t="s">
        <v>56</v>
      </c>
      <c r="C1316" s="22" t="s">
        <v>124</v>
      </c>
      <c r="D1316" s="23">
        <v>1</v>
      </c>
      <c r="E1316" s="24">
        <f>SUM($D$2:D1316)/SUM($D$2:$D$2846)</f>
        <v>0.87000849617672049</v>
      </c>
      <c r="F1316" s="22" t="s">
        <v>46</v>
      </c>
      <c r="G1316" s="25" t="s">
        <v>125</v>
      </c>
    </row>
    <row r="1317" spans="1:7">
      <c r="A1317" s="21" t="s">
        <v>1420</v>
      </c>
      <c r="B1317" s="22" t="s">
        <v>56</v>
      </c>
      <c r="C1317" s="22" t="s">
        <v>124</v>
      </c>
      <c r="D1317" s="23">
        <v>1</v>
      </c>
      <c r="E1317" s="24">
        <f>SUM($D$2:D1317)/SUM($D$2:$D$2846)</f>
        <v>0.87009345794392523</v>
      </c>
      <c r="F1317" s="22" t="s">
        <v>46</v>
      </c>
      <c r="G1317" s="25" t="s">
        <v>125</v>
      </c>
    </row>
    <row r="1318" spans="1:7">
      <c r="A1318" s="21" t="s">
        <v>1421</v>
      </c>
      <c r="B1318" s="26" t="s">
        <v>163</v>
      </c>
      <c r="C1318" s="22" t="s">
        <v>45</v>
      </c>
      <c r="D1318" s="23">
        <v>1</v>
      </c>
      <c r="E1318" s="24">
        <f>SUM($D$2:D1318)/SUM($D$2:$D$2846)</f>
        <v>0.87017841971112997</v>
      </c>
      <c r="F1318" s="22" t="s">
        <v>46</v>
      </c>
      <c r="G1318" s="25" t="s">
        <v>164</v>
      </c>
    </row>
    <row r="1319" spans="1:7">
      <c r="A1319" s="21" t="s">
        <v>1422</v>
      </c>
      <c r="B1319" s="26" t="s">
        <v>163</v>
      </c>
      <c r="C1319" s="22" t="s">
        <v>45</v>
      </c>
      <c r="D1319" s="23">
        <v>1</v>
      </c>
      <c r="E1319" s="24">
        <f>SUM($D$2:D1319)/SUM($D$2:$D$2846)</f>
        <v>0.87026338147833471</v>
      </c>
      <c r="F1319" s="22" t="s">
        <v>46</v>
      </c>
      <c r="G1319" s="25" t="s">
        <v>164</v>
      </c>
    </row>
    <row r="1320" spans="1:7">
      <c r="A1320" s="21" t="s">
        <v>1423</v>
      </c>
      <c r="B1320" s="22" t="s">
        <v>56</v>
      </c>
      <c r="C1320" s="22" t="s">
        <v>124</v>
      </c>
      <c r="D1320" s="23">
        <v>1</v>
      </c>
      <c r="E1320" s="24">
        <f>SUM($D$2:D1320)/SUM($D$2:$D$2846)</f>
        <v>0.87034834324553956</v>
      </c>
      <c r="F1320" s="22" t="s">
        <v>46</v>
      </c>
      <c r="G1320" s="25" t="s">
        <v>125</v>
      </c>
    </row>
    <row r="1321" spans="1:7">
      <c r="A1321" s="21" t="s">
        <v>1424</v>
      </c>
      <c r="B1321" s="22" t="s">
        <v>56</v>
      </c>
      <c r="C1321" s="22" t="s">
        <v>124</v>
      </c>
      <c r="D1321" s="23">
        <v>1</v>
      </c>
      <c r="E1321" s="24">
        <f>SUM($D$2:D1321)/SUM($D$2:$D$2846)</f>
        <v>0.8704333050127443</v>
      </c>
      <c r="F1321" s="22" t="s">
        <v>46</v>
      </c>
      <c r="G1321" s="25" t="s">
        <v>125</v>
      </c>
    </row>
    <row r="1322" spans="1:7">
      <c r="A1322" s="21" t="s">
        <v>1425</v>
      </c>
      <c r="B1322" s="22" t="s">
        <v>56</v>
      </c>
      <c r="C1322" s="22" t="s">
        <v>124</v>
      </c>
      <c r="D1322" s="23">
        <v>1</v>
      </c>
      <c r="E1322" s="24">
        <f>SUM($D$2:D1322)/SUM($D$2:$D$2846)</f>
        <v>0.87051826677994903</v>
      </c>
      <c r="F1322" s="22" t="s">
        <v>46</v>
      </c>
      <c r="G1322" s="25" t="s">
        <v>125</v>
      </c>
    </row>
    <row r="1323" spans="1:7">
      <c r="A1323" s="21" t="s">
        <v>1426</v>
      </c>
      <c r="B1323" s="22" t="s">
        <v>56</v>
      </c>
      <c r="C1323" s="22" t="s">
        <v>124</v>
      </c>
      <c r="D1323" s="23">
        <v>1</v>
      </c>
      <c r="E1323" s="24">
        <f>SUM($D$2:D1323)/SUM($D$2:$D$2846)</f>
        <v>0.87060322854715377</v>
      </c>
      <c r="F1323" s="22" t="s">
        <v>46</v>
      </c>
      <c r="G1323" s="25" t="s">
        <v>125</v>
      </c>
    </row>
    <row r="1324" spans="1:7">
      <c r="A1324" s="21" t="s">
        <v>1427</v>
      </c>
      <c r="B1324" s="22" t="s">
        <v>56</v>
      </c>
      <c r="C1324" s="22" t="s">
        <v>124</v>
      </c>
      <c r="D1324" s="23">
        <v>1</v>
      </c>
      <c r="E1324" s="24">
        <f>SUM($D$2:D1324)/SUM($D$2:$D$2846)</f>
        <v>0.87068819031435851</v>
      </c>
      <c r="F1324" s="22" t="s">
        <v>46</v>
      </c>
      <c r="G1324" s="25" t="s">
        <v>125</v>
      </c>
    </row>
    <row r="1325" spans="1:7">
      <c r="A1325" s="21" t="s">
        <v>1428</v>
      </c>
      <c r="B1325" s="26" t="s">
        <v>163</v>
      </c>
      <c r="C1325" s="22" t="s">
        <v>45</v>
      </c>
      <c r="D1325" s="23">
        <v>1</v>
      </c>
      <c r="E1325" s="24">
        <f>SUM($D$2:D1325)/SUM($D$2:$D$2846)</f>
        <v>0.87077315208156325</v>
      </c>
      <c r="F1325" s="22" t="s">
        <v>46</v>
      </c>
      <c r="G1325" s="25" t="s">
        <v>164</v>
      </c>
    </row>
    <row r="1326" spans="1:7">
      <c r="A1326" s="21" t="s">
        <v>1429</v>
      </c>
      <c r="B1326" s="26" t="s">
        <v>163</v>
      </c>
      <c r="C1326" s="22" t="s">
        <v>45</v>
      </c>
      <c r="D1326" s="23">
        <v>1</v>
      </c>
      <c r="E1326" s="24">
        <f>SUM($D$2:D1326)/SUM($D$2:$D$2846)</f>
        <v>0.8708581138487681</v>
      </c>
      <c r="F1326" s="22" t="s">
        <v>46</v>
      </c>
      <c r="G1326" s="25" t="s">
        <v>164</v>
      </c>
    </row>
    <row r="1327" spans="1:7">
      <c r="A1327" s="21" t="s">
        <v>1430</v>
      </c>
      <c r="B1327" s="22" t="s">
        <v>56</v>
      </c>
      <c r="C1327" s="22" t="s">
        <v>124</v>
      </c>
      <c r="D1327" s="23">
        <v>1</v>
      </c>
      <c r="E1327" s="24">
        <f>SUM($D$2:D1327)/SUM($D$2:$D$2846)</f>
        <v>0.87094307561597284</v>
      </c>
      <c r="F1327" s="22" t="s">
        <v>46</v>
      </c>
      <c r="G1327" s="25" t="s">
        <v>125</v>
      </c>
    </row>
    <row r="1328" spans="1:7">
      <c r="A1328" s="21" t="s">
        <v>1431</v>
      </c>
      <c r="B1328" s="22" t="s">
        <v>56</v>
      </c>
      <c r="C1328" s="22" t="s">
        <v>124</v>
      </c>
      <c r="D1328" s="23">
        <v>1</v>
      </c>
      <c r="E1328" s="24">
        <f>SUM($D$2:D1328)/SUM($D$2:$D$2846)</f>
        <v>0.87102803738317758</v>
      </c>
      <c r="F1328" s="22" t="s">
        <v>46</v>
      </c>
      <c r="G1328" s="25" t="s">
        <v>125</v>
      </c>
    </row>
    <row r="1329" spans="1:7">
      <c r="A1329" s="21" t="s">
        <v>1432</v>
      </c>
      <c r="B1329" s="22" t="s">
        <v>56</v>
      </c>
      <c r="C1329" s="22" t="s">
        <v>124</v>
      </c>
      <c r="D1329" s="23">
        <v>1</v>
      </c>
      <c r="E1329" s="24">
        <f>SUM($D$2:D1329)/SUM($D$2:$D$2846)</f>
        <v>0.87111299915038232</v>
      </c>
      <c r="F1329" s="22" t="s">
        <v>46</v>
      </c>
      <c r="G1329" s="25" t="s">
        <v>125</v>
      </c>
    </row>
    <row r="1330" spans="1:7">
      <c r="A1330" s="21" t="s">
        <v>1433</v>
      </c>
      <c r="B1330" s="22" t="s">
        <v>56</v>
      </c>
      <c r="C1330" s="22" t="s">
        <v>124</v>
      </c>
      <c r="D1330" s="23">
        <v>1</v>
      </c>
      <c r="E1330" s="24">
        <f>SUM($D$2:D1330)/SUM($D$2:$D$2846)</f>
        <v>0.87119796091758706</v>
      </c>
      <c r="F1330" s="22" t="s">
        <v>46</v>
      </c>
      <c r="G1330" s="25" t="s">
        <v>125</v>
      </c>
    </row>
    <row r="1331" spans="1:7">
      <c r="A1331" s="21" t="s">
        <v>1434</v>
      </c>
      <c r="B1331" s="22" t="s">
        <v>56</v>
      </c>
      <c r="C1331" s="22" t="s">
        <v>124</v>
      </c>
      <c r="D1331" s="23">
        <v>1</v>
      </c>
      <c r="E1331" s="24">
        <f>SUM($D$2:D1331)/SUM($D$2:$D$2846)</f>
        <v>0.87128292268479179</v>
      </c>
      <c r="F1331" s="22" t="s">
        <v>46</v>
      </c>
      <c r="G1331" s="25" t="s">
        <v>125</v>
      </c>
    </row>
    <row r="1332" spans="1:7">
      <c r="A1332" s="21" t="s">
        <v>1435</v>
      </c>
      <c r="B1332" s="22" t="s">
        <v>56</v>
      </c>
      <c r="C1332" s="22" t="s">
        <v>124</v>
      </c>
      <c r="D1332" s="23">
        <v>1</v>
      </c>
      <c r="E1332" s="24">
        <f>SUM($D$2:D1332)/SUM($D$2:$D$2846)</f>
        <v>0.87136788445199664</v>
      </c>
      <c r="F1332" s="22" t="s">
        <v>46</v>
      </c>
      <c r="G1332" s="25" t="s">
        <v>125</v>
      </c>
    </row>
    <row r="1333" spans="1:7">
      <c r="A1333" s="21" t="s">
        <v>1436</v>
      </c>
      <c r="B1333" s="22" t="s">
        <v>56</v>
      </c>
      <c r="C1333" s="22" t="s">
        <v>124</v>
      </c>
      <c r="D1333" s="23">
        <v>1</v>
      </c>
      <c r="E1333" s="24">
        <f>SUM($D$2:D1333)/SUM($D$2:$D$2846)</f>
        <v>0.87145284621920138</v>
      </c>
      <c r="F1333" s="22" t="s">
        <v>46</v>
      </c>
      <c r="G1333" s="25" t="s">
        <v>125</v>
      </c>
    </row>
    <row r="1334" spans="1:7">
      <c r="A1334" s="21" t="s">
        <v>1437</v>
      </c>
      <c r="B1334" s="22" t="s">
        <v>56</v>
      </c>
      <c r="C1334" s="22" t="s">
        <v>124</v>
      </c>
      <c r="D1334" s="23">
        <v>1</v>
      </c>
      <c r="E1334" s="24">
        <f>SUM($D$2:D1334)/SUM($D$2:$D$2846)</f>
        <v>0.87153780798640612</v>
      </c>
      <c r="F1334" s="22" t="s">
        <v>46</v>
      </c>
      <c r="G1334" s="25" t="s">
        <v>125</v>
      </c>
    </row>
    <row r="1335" spans="1:7">
      <c r="A1335" s="21" t="s">
        <v>1438</v>
      </c>
      <c r="B1335" s="22" t="s">
        <v>56</v>
      </c>
      <c r="C1335" s="22" t="s">
        <v>124</v>
      </c>
      <c r="D1335" s="23">
        <v>1</v>
      </c>
      <c r="E1335" s="24">
        <f>SUM($D$2:D1335)/SUM($D$2:$D$2846)</f>
        <v>0.87162276975361086</v>
      </c>
      <c r="F1335" s="22" t="s">
        <v>46</v>
      </c>
      <c r="G1335" s="25" t="s">
        <v>125</v>
      </c>
    </row>
    <row r="1336" spans="1:7">
      <c r="A1336" s="21" t="s">
        <v>1439</v>
      </c>
      <c r="B1336" s="22" t="s">
        <v>56</v>
      </c>
      <c r="C1336" s="22" t="s">
        <v>124</v>
      </c>
      <c r="D1336" s="23">
        <v>1</v>
      </c>
      <c r="E1336" s="24">
        <f>SUM($D$2:D1336)/SUM($D$2:$D$2846)</f>
        <v>0.8717077315208156</v>
      </c>
      <c r="F1336" s="22" t="s">
        <v>46</v>
      </c>
      <c r="G1336" s="25" t="s">
        <v>125</v>
      </c>
    </row>
    <row r="1337" spans="1:7">
      <c r="A1337" s="21" t="s">
        <v>1440</v>
      </c>
      <c r="B1337" s="22" t="s">
        <v>56</v>
      </c>
      <c r="C1337" s="22" t="s">
        <v>124</v>
      </c>
      <c r="D1337" s="23">
        <v>1</v>
      </c>
      <c r="E1337" s="24">
        <f>SUM($D$2:D1337)/SUM($D$2:$D$2846)</f>
        <v>0.87179269328802034</v>
      </c>
      <c r="F1337" s="22" t="s">
        <v>46</v>
      </c>
      <c r="G1337" s="25" t="s">
        <v>125</v>
      </c>
    </row>
    <row r="1338" spans="1:7">
      <c r="A1338" s="21" t="s">
        <v>1441</v>
      </c>
      <c r="B1338" s="22" t="s">
        <v>56</v>
      </c>
      <c r="C1338" s="22" t="s">
        <v>124</v>
      </c>
      <c r="D1338" s="23">
        <v>1</v>
      </c>
      <c r="E1338" s="24">
        <f>SUM($D$2:D1338)/SUM($D$2:$D$2846)</f>
        <v>0.87187765505522519</v>
      </c>
      <c r="F1338" s="22" t="s">
        <v>46</v>
      </c>
      <c r="G1338" s="25" t="s">
        <v>125</v>
      </c>
    </row>
    <row r="1339" spans="1:7">
      <c r="A1339" s="21" t="s">
        <v>1442</v>
      </c>
      <c r="B1339" s="22" t="s">
        <v>56</v>
      </c>
      <c r="C1339" s="22" t="s">
        <v>124</v>
      </c>
      <c r="D1339" s="23">
        <v>1</v>
      </c>
      <c r="E1339" s="24">
        <f>SUM($D$2:D1339)/SUM($D$2:$D$2846)</f>
        <v>0.87196261682242993</v>
      </c>
      <c r="F1339" s="22" t="s">
        <v>46</v>
      </c>
      <c r="G1339" s="25" t="s">
        <v>125</v>
      </c>
    </row>
    <row r="1340" spans="1:7">
      <c r="A1340" s="21" t="s">
        <v>1443</v>
      </c>
      <c r="B1340" s="22" t="s">
        <v>56</v>
      </c>
      <c r="C1340" s="22" t="s">
        <v>124</v>
      </c>
      <c r="D1340" s="23">
        <v>1</v>
      </c>
      <c r="E1340" s="24">
        <f>SUM($D$2:D1340)/SUM($D$2:$D$2846)</f>
        <v>0.87204757858963466</v>
      </c>
      <c r="F1340" s="22" t="s">
        <v>46</v>
      </c>
      <c r="G1340" s="25" t="s">
        <v>125</v>
      </c>
    </row>
    <row r="1341" spans="1:7">
      <c r="A1341" s="21" t="s">
        <v>1444</v>
      </c>
      <c r="B1341" s="22" t="s">
        <v>56</v>
      </c>
      <c r="C1341" s="22" t="s">
        <v>124</v>
      </c>
      <c r="D1341" s="23">
        <v>1</v>
      </c>
      <c r="E1341" s="24">
        <f>SUM($D$2:D1341)/SUM($D$2:$D$2846)</f>
        <v>0.8721325403568394</v>
      </c>
      <c r="F1341" s="22" t="s">
        <v>46</v>
      </c>
      <c r="G1341" s="25" t="s">
        <v>125</v>
      </c>
    </row>
    <row r="1342" spans="1:7">
      <c r="A1342" s="21" t="s">
        <v>1445</v>
      </c>
      <c r="B1342" s="22" t="s">
        <v>56</v>
      </c>
      <c r="C1342" s="22" t="s">
        <v>124</v>
      </c>
      <c r="D1342" s="23">
        <v>1</v>
      </c>
      <c r="E1342" s="24">
        <f>SUM($D$2:D1342)/SUM($D$2:$D$2846)</f>
        <v>0.87221750212404414</v>
      </c>
      <c r="F1342" s="22" t="s">
        <v>46</v>
      </c>
      <c r="G1342" s="25" t="s">
        <v>125</v>
      </c>
    </row>
    <row r="1343" spans="1:7">
      <c r="A1343" s="21" t="s">
        <v>1446</v>
      </c>
      <c r="B1343" s="22" t="s">
        <v>56</v>
      </c>
      <c r="C1343" s="22" t="s">
        <v>124</v>
      </c>
      <c r="D1343" s="23">
        <v>1</v>
      </c>
      <c r="E1343" s="24">
        <f>SUM($D$2:D1343)/SUM($D$2:$D$2846)</f>
        <v>0.87230246389124899</v>
      </c>
      <c r="F1343" s="22" t="s">
        <v>46</v>
      </c>
      <c r="G1343" s="25" t="s">
        <v>125</v>
      </c>
    </row>
    <row r="1344" spans="1:7">
      <c r="A1344" s="21" t="s">
        <v>1447</v>
      </c>
      <c r="B1344" s="22" t="s">
        <v>56</v>
      </c>
      <c r="C1344" s="22" t="s">
        <v>124</v>
      </c>
      <c r="D1344" s="23">
        <v>1</v>
      </c>
      <c r="E1344" s="24">
        <f>SUM($D$2:D1344)/SUM($D$2:$D$2846)</f>
        <v>0.87238742565845373</v>
      </c>
      <c r="F1344" s="22" t="s">
        <v>46</v>
      </c>
      <c r="G1344" s="25" t="s">
        <v>125</v>
      </c>
    </row>
    <row r="1345" spans="1:7">
      <c r="A1345" s="21" t="s">
        <v>1448</v>
      </c>
      <c r="B1345" s="22" t="s">
        <v>56</v>
      </c>
      <c r="C1345" s="22" t="s">
        <v>124</v>
      </c>
      <c r="D1345" s="23">
        <v>1</v>
      </c>
      <c r="E1345" s="24">
        <f>SUM($D$2:D1345)/SUM($D$2:$D$2846)</f>
        <v>0.87247238742565847</v>
      </c>
      <c r="F1345" s="22" t="s">
        <v>46</v>
      </c>
      <c r="G1345" s="25" t="s">
        <v>125</v>
      </c>
    </row>
    <row r="1346" spans="1:7">
      <c r="A1346" s="21" t="s">
        <v>1449</v>
      </c>
      <c r="B1346" s="22" t="s">
        <v>56</v>
      </c>
      <c r="C1346" s="22" t="s">
        <v>124</v>
      </c>
      <c r="D1346" s="23">
        <v>1</v>
      </c>
      <c r="E1346" s="24">
        <f>SUM($D$2:D1346)/SUM($D$2:$D$2846)</f>
        <v>0.87255734919286321</v>
      </c>
      <c r="F1346" s="22" t="s">
        <v>46</v>
      </c>
      <c r="G1346" s="25" t="s">
        <v>125</v>
      </c>
    </row>
    <row r="1347" spans="1:7">
      <c r="A1347" s="21" t="s">
        <v>1450</v>
      </c>
      <c r="B1347" s="26" t="s">
        <v>163</v>
      </c>
      <c r="C1347" s="22" t="s">
        <v>45</v>
      </c>
      <c r="D1347" s="23">
        <v>1</v>
      </c>
      <c r="E1347" s="24">
        <f>SUM($D$2:D1347)/SUM($D$2:$D$2846)</f>
        <v>0.87264231096006795</v>
      </c>
      <c r="F1347" s="22" t="s">
        <v>46</v>
      </c>
      <c r="G1347" s="25" t="s">
        <v>164</v>
      </c>
    </row>
    <row r="1348" spans="1:7">
      <c r="A1348" s="21" t="s">
        <v>1451</v>
      </c>
      <c r="B1348" s="26" t="s">
        <v>163</v>
      </c>
      <c r="C1348" s="22" t="s">
        <v>45</v>
      </c>
      <c r="D1348" s="23">
        <v>1</v>
      </c>
      <c r="E1348" s="24">
        <f>SUM($D$2:D1348)/SUM($D$2:$D$2846)</f>
        <v>0.87272727272727268</v>
      </c>
      <c r="F1348" s="22" t="s">
        <v>46</v>
      </c>
      <c r="G1348" s="25" t="s">
        <v>164</v>
      </c>
    </row>
    <row r="1349" spans="1:7">
      <c r="A1349" s="21" t="s">
        <v>1452</v>
      </c>
      <c r="B1349" s="22" t="s">
        <v>56</v>
      </c>
      <c r="C1349" s="22" t="s">
        <v>124</v>
      </c>
      <c r="D1349" s="23">
        <v>1</v>
      </c>
      <c r="E1349" s="24">
        <f>SUM($D$2:D1349)/SUM($D$2:$D$2846)</f>
        <v>0.87281223449447753</v>
      </c>
      <c r="F1349" s="22" t="s">
        <v>46</v>
      </c>
      <c r="G1349" s="25" t="s">
        <v>125</v>
      </c>
    </row>
    <row r="1350" spans="1:7">
      <c r="A1350" s="21" t="s">
        <v>1453</v>
      </c>
      <c r="B1350" s="22" t="s">
        <v>56</v>
      </c>
      <c r="C1350" s="22" t="s">
        <v>124</v>
      </c>
      <c r="D1350" s="23">
        <v>1</v>
      </c>
      <c r="E1350" s="24">
        <f>SUM($D$2:D1350)/SUM($D$2:$D$2846)</f>
        <v>0.87289719626168227</v>
      </c>
      <c r="F1350" s="22" t="s">
        <v>46</v>
      </c>
      <c r="G1350" s="25" t="s">
        <v>125</v>
      </c>
    </row>
    <row r="1351" spans="1:7">
      <c r="A1351" s="21" t="s">
        <v>1454</v>
      </c>
      <c r="B1351" s="22" t="s">
        <v>56</v>
      </c>
      <c r="C1351" s="22" t="s">
        <v>124</v>
      </c>
      <c r="D1351" s="23">
        <v>1</v>
      </c>
      <c r="E1351" s="24">
        <f>SUM($D$2:D1351)/SUM($D$2:$D$2846)</f>
        <v>0.87298215802888701</v>
      </c>
      <c r="F1351" s="22" t="s">
        <v>46</v>
      </c>
      <c r="G1351" s="25" t="s">
        <v>125</v>
      </c>
    </row>
    <row r="1352" spans="1:7">
      <c r="A1352" s="21" t="s">
        <v>1455</v>
      </c>
      <c r="B1352" s="22" t="s">
        <v>56</v>
      </c>
      <c r="C1352" s="22" t="s">
        <v>124</v>
      </c>
      <c r="D1352" s="23">
        <v>1</v>
      </c>
      <c r="E1352" s="24">
        <f>SUM($D$2:D1352)/SUM($D$2:$D$2846)</f>
        <v>0.87306711979609175</v>
      </c>
      <c r="F1352" s="22" t="s">
        <v>46</v>
      </c>
      <c r="G1352" s="25" t="s">
        <v>125</v>
      </c>
    </row>
    <row r="1353" spans="1:7">
      <c r="A1353" s="21" t="s">
        <v>1456</v>
      </c>
      <c r="B1353" s="26" t="s">
        <v>163</v>
      </c>
      <c r="C1353" s="22" t="s">
        <v>45</v>
      </c>
      <c r="D1353" s="23">
        <v>1</v>
      </c>
      <c r="E1353" s="24">
        <f>SUM($D$2:D1353)/SUM($D$2:$D$2846)</f>
        <v>0.87315208156329649</v>
      </c>
      <c r="F1353" s="22" t="s">
        <v>46</v>
      </c>
      <c r="G1353" s="25" t="s">
        <v>164</v>
      </c>
    </row>
    <row r="1354" spans="1:7">
      <c r="A1354" s="21" t="s">
        <v>1457</v>
      </c>
      <c r="B1354" s="26" t="s">
        <v>163</v>
      </c>
      <c r="C1354" s="22" t="s">
        <v>45</v>
      </c>
      <c r="D1354" s="23">
        <v>1</v>
      </c>
      <c r="E1354" s="24">
        <f>SUM($D$2:D1354)/SUM($D$2:$D$2846)</f>
        <v>0.87323704333050123</v>
      </c>
      <c r="F1354" s="22" t="s">
        <v>46</v>
      </c>
      <c r="G1354" s="25" t="s">
        <v>164</v>
      </c>
    </row>
    <row r="1355" spans="1:7">
      <c r="A1355" s="21" t="s">
        <v>1458</v>
      </c>
      <c r="B1355" s="22" t="s">
        <v>56</v>
      </c>
      <c r="C1355" s="22" t="s">
        <v>124</v>
      </c>
      <c r="D1355" s="23">
        <v>1</v>
      </c>
      <c r="E1355" s="24">
        <f>SUM($D$2:D1355)/SUM($D$2:$D$2846)</f>
        <v>0.87332200509770608</v>
      </c>
      <c r="F1355" s="22" t="s">
        <v>46</v>
      </c>
      <c r="G1355" s="25" t="s">
        <v>125</v>
      </c>
    </row>
    <row r="1356" spans="1:7">
      <c r="A1356" s="21" t="s">
        <v>1459</v>
      </c>
      <c r="B1356" s="22" t="s">
        <v>56</v>
      </c>
      <c r="C1356" s="22" t="s">
        <v>124</v>
      </c>
      <c r="D1356" s="23">
        <v>1</v>
      </c>
      <c r="E1356" s="24">
        <f>SUM($D$2:D1356)/SUM($D$2:$D$2846)</f>
        <v>0.87340696686491082</v>
      </c>
      <c r="F1356" s="22" t="s">
        <v>46</v>
      </c>
      <c r="G1356" s="25" t="s">
        <v>125</v>
      </c>
    </row>
    <row r="1357" spans="1:7">
      <c r="A1357" s="21" t="s">
        <v>1460</v>
      </c>
      <c r="B1357" s="22" t="s">
        <v>56</v>
      </c>
      <c r="C1357" s="22" t="s">
        <v>124</v>
      </c>
      <c r="D1357" s="23">
        <v>1</v>
      </c>
      <c r="E1357" s="24">
        <f>SUM($D$2:D1357)/SUM($D$2:$D$2846)</f>
        <v>0.87349192863211556</v>
      </c>
      <c r="F1357" s="22" t="s">
        <v>46</v>
      </c>
      <c r="G1357" s="25" t="s">
        <v>125</v>
      </c>
    </row>
    <row r="1358" spans="1:7">
      <c r="A1358" s="21" t="s">
        <v>1461</v>
      </c>
      <c r="B1358" s="22" t="s">
        <v>56</v>
      </c>
      <c r="C1358" s="22" t="s">
        <v>124</v>
      </c>
      <c r="D1358" s="23">
        <v>1</v>
      </c>
      <c r="E1358" s="24">
        <f>SUM($D$2:D1358)/SUM($D$2:$D$2846)</f>
        <v>0.87357689039932029</v>
      </c>
      <c r="F1358" s="22" t="s">
        <v>46</v>
      </c>
      <c r="G1358" s="25" t="s">
        <v>125</v>
      </c>
    </row>
    <row r="1359" spans="1:7">
      <c r="A1359" s="21" t="s">
        <v>1462</v>
      </c>
      <c r="B1359" s="22" t="s">
        <v>56</v>
      </c>
      <c r="C1359" s="22" t="s">
        <v>124</v>
      </c>
      <c r="D1359" s="23">
        <v>1</v>
      </c>
      <c r="E1359" s="24">
        <f>SUM($D$2:D1359)/SUM($D$2:$D$2846)</f>
        <v>0.87366185216652503</v>
      </c>
      <c r="F1359" s="22" t="s">
        <v>46</v>
      </c>
      <c r="G1359" s="25" t="s">
        <v>125</v>
      </c>
    </row>
    <row r="1360" spans="1:7">
      <c r="A1360" s="21" t="s">
        <v>1463</v>
      </c>
      <c r="B1360" s="22" t="s">
        <v>56</v>
      </c>
      <c r="C1360" s="22" t="s">
        <v>124</v>
      </c>
      <c r="D1360" s="23">
        <v>1</v>
      </c>
      <c r="E1360" s="24">
        <f>SUM($D$2:D1360)/SUM($D$2:$D$2846)</f>
        <v>0.87374681393372977</v>
      </c>
      <c r="F1360" s="22" t="s">
        <v>46</v>
      </c>
      <c r="G1360" s="25" t="s">
        <v>125</v>
      </c>
    </row>
    <row r="1361" spans="1:7">
      <c r="A1361" s="21" t="s">
        <v>1464</v>
      </c>
      <c r="B1361" s="22" t="s">
        <v>56</v>
      </c>
      <c r="C1361" s="22" t="s">
        <v>124</v>
      </c>
      <c r="D1361" s="23">
        <v>1</v>
      </c>
      <c r="E1361" s="24">
        <f>SUM($D$2:D1361)/SUM($D$2:$D$2846)</f>
        <v>0.87383177570093462</v>
      </c>
      <c r="F1361" s="22" t="s">
        <v>46</v>
      </c>
      <c r="G1361" s="25" t="s">
        <v>125</v>
      </c>
    </row>
    <row r="1362" spans="1:7">
      <c r="A1362" s="21" t="s">
        <v>1465</v>
      </c>
      <c r="B1362" s="26" t="s">
        <v>163</v>
      </c>
      <c r="C1362" s="22" t="s">
        <v>45</v>
      </c>
      <c r="D1362" s="23">
        <v>1</v>
      </c>
      <c r="E1362" s="24">
        <f>SUM($D$2:D1362)/SUM($D$2:$D$2846)</f>
        <v>0.87391673746813936</v>
      </c>
      <c r="F1362" s="22" t="s">
        <v>46</v>
      </c>
      <c r="G1362" s="25" t="s">
        <v>164</v>
      </c>
    </row>
    <row r="1363" spans="1:7">
      <c r="A1363" s="21" t="s">
        <v>1466</v>
      </c>
      <c r="B1363" s="22" t="s">
        <v>56</v>
      </c>
      <c r="C1363" s="22" t="s">
        <v>124</v>
      </c>
      <c r="D1363" s="23">
        <v>1</v>
      </c>
      <c r="E1363" s="24">
        <f>SUM($D$2:D1363)/SUM($D$2:$D$2846)</f>
        <v>0.8740016992353441</v>
      </c>
      <c r="F1363" s="22" t="s">
        <v>46</v>
      </c>
      <c r="G1363" s="25" t="s">
        <v>125</v>
      </c>
    </row>
    <row r="1364" spans="1:7">
      <c r="A1364" s="21" t="s">
        <v>1467</v>
      </c>
      <c r="B1364" s="22" t="s">
        <v>56</v>
      </c>
      <c r="C1364" s="22" t="s">
        <v>124</v>
      </c>
      <c r="D1364" s="23">
        <v>1</v>
      </c>
      <c r="E1364" s="24">
        <f>SUM($D$2:D1364)/SUM($D$2:$D$2846)</f>
        <v>0.87408666100254884</v>
      </c>
      <c r="F1364" s="22" t="s">
        <v>46</v>
      </c>
      <c r="G1364" s="25" t="s">
        <v>125</v>
      </c>
    </row>
    <row r="1365" spans="1:7">
      <c r="A1365" s="21" t="s">
        <v>1468</v>
      </c>
      <c r="B1365" s="22" t="s">
        <v>56</v>
      </c>
      <c r="C1365" s="22" t="s">
        <v>124</v>
      </c>
      <c r="D1365" s="23">
        <v>1</v>
      </c>
      <c r="E1365" s="24">
        <f>SUM($D$2:D1365)/SUM($D$2:$D$2846)</f>
        <v>0.87417162276975358</v>
      </c>
      <c r="F1365" s="22" t="s">
        <v>46</v>
      </c>
      <c r="G1365" s="25" t="s">
        <v>125</v>
      </c>
    </row>
    <row r="1366" spans="1:7">
      <c r="A1366" s="21" t="s">
        <v>1469</v>
      </c>
      <c r="B1366" s="26" t="s">
        <v>163</v>
      </c>
      <c r="C1366" s="22" t="s">
        <v>45</v>
      </c>
      <c r="D1366" s="23">
        <v>1</v>
      </c>
      <c r="E1366" s="24">
        <f>SUM($D$2:D1366)/SUM($D$2:$D$2846)</f>
        <v>0.87425658453695831</v>
      </c>
      <c r="F1366" s="22" t="s">
        <v>46</v>
      </c>
      <c r="G1366" s="25" t="s">
        <v>164</v>
      </c>
    </row>
    <row r="1367" spans="1:7">
      <c r="A1367" s="21" t="s">
        <v>1470</v>
      </c>
      <c r="B1367" s="26" t="s">
        <v>163</v>
      </c>
      <c r="C1367" s="22" t="s">
        <v>45</v>
      </c>
      <c r="D1367" s="23">
        <v>1</v>
      </c>
      <c r="E1367" s="24">
        <f>SUM($D$2:D1367)/SUM($D$2:$D$2846)</f>
        <v>0.87434154630416316</v>
      </c>
      <c r="F1367" s="22" t="s">
        <v>46</v>
      </c>
      <c r="G1367" s="25" t="s">
        <v>164</v>
      </c>
    </row>
    <row r="1368" spans="1:7">
      <c r="A1368" s="21" t="s">
        <v>1471</v>
      </c>
      <c r="B1368" s="26" t="s">
        <v>163</v>
      </c>
      <c r="C1368" s="22" t="s">
        <v>45</v>
      </c>
      <c r="D1368" s="23">
        <v>1</v>
      </c>
      <c r="E1368" s="24">
        <f>SUM($D$2:D1368)/SUM($D$2:$D$2846)</f>
        <v>0.8744265080713679</v>
      </c>
      <c r="F1368" s="22" t="s">
        <v>46</v>
      </c>
      <c r="G1368" s="25" t="s">
        <v>164</v>
      </c>
    </row>
    <row r="1369" spans="1:7">
      <c r="A1369" s="21" t="s">
        <v>1472</v>
      </c>
      <c r="B1369" s="26" t="s">
        <v>163</v>
      </c>
      <c r="C1369" s="22" t="s">
        <v>45</v>
      </c>
      <c r="D1369" s="23">
        <v>1</v>
      </c>
      <c r="E1369" s="24">
        <f>SUM($D$2:D1369)/SUM($D$2:$D$2846)</f>
        <v>0.87451146983857264</v>
      </c>
      <c r="F1369" s="22" t="s">
        <v>46</v>
      </c>
      <c r="G1369" s="25" t="s">
        <v>164</v>
      </c>
    </row>
    <row r="1370" spans="1:7">
      <c r="A1370" s="21" t="s">
        <v>1473</v>
      </c>
      <c r="B1370" s="22" t="s">
        <v>56</v>
      </c>
      <c r="C1370" s="22" t="s">
        <v>124</v>
      </c>
      <c r="D1370" s="23">
        <v>1</v>
      </c>
      <c r="E1370" s="24">
        <f>SUM($D$2:D1370)/SUM($D$2:$D$2846)</f>
        <v>0.87459643160577738</v>
      </c>
      <c r="F1370" s="22" t="s">
        <v>46</v>
      </c>
      <c r="G1370" s="25" t="s">
        <v>125</v>
      </c>
    </row>
    <row r="1371" spans="1:7">
      <c r="A1371" s="21" t="s">
        <v>1474</v>
      </c>
      <c r="B1371" s="22" t="s">
        <v>56</v>
      </c>
      <c r="C1371" s="22" t="s">
        <v>124</v>
      </c>
      <c r="D1371" s="23">
        <v>1</v>
      </c>
      <c r="E1371" s="24">
        <f>SUM($D$2:D1371)/SUM($D$2:$D$2846)</f>
        <v>0.87468139337298212</v>
      </c>
      <c r="F1371" s="22" t="s">
        <v>46</v>
      </c>
      <c r="G1371" s="25" t="s">
        <v>125</v>
      </c>
    </row>
    <row r="1372" spans="1:7">
      <c r="A1372" s="21" t="s">
        <v>1475</v>
      </c>
      <c r="B1372" s="26" t="s">
        <v>163</v>
      </c>
      <c r="C1372" s="22" t="s">
        <v>45</v>
      </c>
      <c r="D1372" s="23">
        <v>1</v>
      </c>
      <c r="E1372" s="24">
        <f>SUM($D$2:D1372)/SUM($D$2:$D$2846)</f>
        <v>0.87476635514018697</v>
      </c>
      <c r="F1372" s="22" t="s">
        <v>46</v>
      </c>
      <c r="G1372" s="25" t="s">
        <v>164</v>
      </c>
    </row>
    <row r="1373" spans="1:7">
      <c r="A1373" s="21" t="s">
        <v>1476</v>
      </c>
      <c r="B1373" s="22" t="s">
        <v>56</v>
      </c>
      <c r="C1373" s="22" t="s">
        <v>124</v>
      </c>
      <c r="D1373" s="23">
        <v>1</v>
      </c>
      <c r="E1373" s="24">
        <f>SUM($D$2:D1373)/SUM($D$2:$D$2846)</f>
        <v>0.87485131690739171</v>
      </c>
      <c r="F1373" s="22" t="s">
        <v>46</v>
      </c>
      <c r="G1373" s="25" t="s">
        <v>125</v>
      </c>
    </row>
    <row r="1374" spans="1:7">
      <c r="A1374" s="21" t="s">
        <v>89</v>
      </c>
      <c r="B1374" s="26" t="s">
        <v>56</v>
      </c>
      <c r="C1374" s="22" t="s">
        <v>45</v>
      </c>
      <c r="D1374" s="23">
        <v>1</v>
      </c>
      <c r="E1374" s="24">
        <f>SUM($D$2:D1374)/SUM($D$2:$D$2846)</f>
        <v>0.87493627867459645</v>
      </c>
      <c r="F1374" s="22" t="s">
        <v>46</v>
      </c>
      <c r="G1374" s="25" t="s">
        <v>47</v>
      </c>
    </row>
    <row r="1375" spans="1:7">
      <c r="A1375" s="21" t="s">
        <v>1477</v>
      </c>
      <c r="B1375" s="22" t="s">
        <v>56</v>
      </c>
      <c r="C1375" s="22" t="s">
        <v>124</v>
      </c>
      <c r="D1375" s="23">
        <v>1</v>
      </c>
      <c r="E1375" s="24">
        <f>SUM($D$2:D1375)/SUM($D$2:$D$2846)</f>
        <v>0.87502124044180118</v>
      </c>
      <c r="F1375" s="22" t="s">
        <v>46</v>
      </c>
      <c r="G1375" s="25" t="s">
        <v>125</v>
      </c>
    </row>
    <row r="1376" spans="1:7">
      <c r="A1376" s="21" t="s">
        <v>1478</v>
      </c>
      <c r="B1376" s="22" t="s">
        <v>56</v>
      </c>
      <c r="C1376" s="22" t="s">
        <v>124</v>
      </c>
      <c r="D1376" s="23">
        <v>1</v>
      </c>
      <c r="E1376" s="24">
        <f>SUM($D$2:D1376)/SUM($D$2:$D$2846)</f>
        <v>0.87510620220900592</v>
      </c>
      <c r="F1376" s="22" t="s">
        <v>46</v>
      </c>
      <c r="G1376" s="25" t="s">
        <v>125</v>
      </c>
    </row>
    <row r="1377" spans="1:7">
      <c r="A1377" s="21" t="s">
        <v>1479</v>
      </c>
      <c r="B1377" s="22" t="s">
        <v>56</v>
      </c>
      <c r="C1377" s="22" t="s">
        <v>124</v>
      </c>
      <c r="D1377" s="23">
        <v>1</v>
      </c>
      <c r="E1377" s="24">
        <f>SUM($D$2:D1377)/SUM($D$2:$D$2846)</f>
        <v>0.87519116397621066</v>
      </c>
      <c r="F1377" s="22" t="s">
        <v>46</v>
      </c>
      <c r="G1377" s="25" t="s">
        <v>125</v>
      </c>
    </row>
    <row r="1378" spans="1:7">
      <c r="A1378" s="21" t="s">
        <v>1480</v>
      </c>
      <c r="B1378" s="26" t="s">
        <v>163</v>
      </c>
      <c r="C1378" s="22" t="s">
        <v>45</v>
      </c>
      <c r="D1378" s="23">
        <v>1</v>
      </c>
      <c r="E1378" s="24">
        <f>SUM($D$2:D1378)/SUM($D$2:$D$2846)</f>
        <v>0.87527612574341551</v>
      </c>
      <c r="F1378" s="22" t="s">
        <v>46</v>
      </c>
      <c r="G1378" s="25" t="s">
        <v>164</v>
      </c>
    </row>
    <row r="1379" spans="1:7">
      <c r="A1379" s="21" t="s">
        <v>1481</v>
      </c>
      <c r="B1379" s="22" t="s">
        <v>56</v>
      </c>
      <c r="C1379" s="22" t="s">
        <v>124</v>
      </c>
      <c r="D1379" s="23">
        <v>1</v>
      </c>
      <c r="E1379" s="24">
        <f>SUM($D$2:D1379)/SUM($D$2:$D$2846)</f>
        <v>0.87536108751062025</v>
      </c>
      <c r="F1379" s="22" t="s">
        <v>46</v>
      </c>
      <c r="G1379" s="25" t="s">
        <v>125</v>
      </c>
    </row>
    <row r="1380" spans="1:7">
      <c r="A1380" s="21" t="s">
        <v>1482</v>
      </c>
      <c r="B1380" s="26" t="s">
        <v>163</v>
      </c>
      <c r="C1380" s="22" t="s">
        <v>45</v>
      </c>
      <c r="D1380" s="23">
        <v>1</v>
      </c>
      <c r="E1380" s="24">
        <f>SUM($D$2:D1380)/SUM($D$2:$D$2846)</f>
        <v>0.87544604927782499</v>
      </c>
      <c r="F1380" s="22" t="s">
        <v>46</v>
      </c>
      <c r="G1380" s="25" t="s">
        <v>164</v>
      </c>
    </row>
    <row r="1381" spans="1:7">
      <c r="A1381" s="21" t="s">
        <v>1483</v>
      </c>
      <c r="B1381" s="22" t="s">
        <v>56</v>
      </c>
      <c r="C1381" s="22" t="s">
        <v>124</v>
      </c>
      <c r="D1381" s="23">
        <v>1</v>
      </c>
      <c r="E1381" s="24">
        <f>SUM($D$2:D1381)/SUM($D$2:$D$2846)</f>
        <v>0.87553101104502973</v>
      </c>
      <c r="F1381" s="22" t="s">
        <v>46</v>
      </c>
      <c r="G1381" s="25" t="s">
        <v>125</v>
      </c>
    </row>
    <row r="1382" spans="1:7">
      <c r="A1382" s="21" t="s">
        <v>1484</v>
      </c>
      <c r="B1382" s="22" t="s">
        <v>56</v>
      </c>
      <c r="C1382" s="22" t="s">
        <v>124</v>
      </c>
      <c r="D1382" s="23">
        <v>1</v>
      </c>
      <c r="E1382" s="24">
        <f>SUM($D$2:D1382)/SUM($D$2:$D$2846)</f>
        <v>0.87561597281223447</v>
      </c>
      <c r="F1382" s="22" t="s">
        <v>46</v>
      </c>
      <c r="G1382" s="25" t="s">
        <v>125</v>
      </c>
    </row>
    <row r="1383" spans="1:7">
      <c r="A1383" s="21" t="s">
        <v>1485</v>
      </c>
      <c r="B1383" s="22" t="s">
        <v>56</v>
      </c>
      <c r="C1383" s="22" t="s">
        <v>124</v>
      </c>
      <c r="D1383" s="23">
        <v>1</v>
      </c>
      <c r="E1383" s="24">
        <f>SUM($D$2:D1383)/SUM($D$2:$D$2846)</f>
        <v>0.87570093457943921</v>
      </c>
      <c r="F1383" s="22" t="s">
        <v>46</v>
      </c>
      <c r="G1383" s="25" t="s">
        <v>125</v>
      </c>
    </row>
    <row r="1384" spans="1:7">
      <c r="A1384" s="21" t="s">
        <v>1486</v>
      </c>
      <c r="B1384" s="22" t="s">
        <v>56</v>
      </c>
      <c r="C1384" s="22" t="s">
        <v>124</v>
      </c>
      <c r="D1384" s="23">
        <v>1</v>
      </c>
      <c r="E1384" s="24">
        <f>SUM($D$2:D1384)/SUM($D$2:$D$2846)</f>
        <v>0.87578589634664405</v>
      </c>
      <c r="F1384" s="22" t="s">
        <v>46</v>
      </c>
      <c r="G1384" s="25" t="s">
        <v>125</v>
      </c>
    </row>
    <row r="1385" spans="1:7">
      <c r="A1385" s="21" t="s">
        <v>1487</v>
      </c>
      <c r="B1385" s="22" t="s">
        <v>56</v>
      </c>
      <c r="C1385" s="22" t="s">
        <v>124</v>
      </c>
      <c r="D1385" s="23">
        <v>1</v>
      </c>
      <c r="E1385" s="24">
        <f>SUM($D$2:D1385)/SUM($D$2:$D$2846)</f>
        <v>0.87587085811384879</v>
      </c>
      <c r="F1385" s="22" t="s">
        <v>46</v>
      </c>
      <c r="G1385" s="25" t="s">
        <v>125</v>
      </c>
    </row>
    <row r="1386" spans="1:7">
      <c r="A1386" s="21" t="s">
        <v>1488</v>
      </c>
      <c r="B1386" s="22" t="s">
        <v>56</v>
      </c>
      <c r="C1386" s="22" t="s">
        <v>124</v>
      </c>
      <c r="D1386" s="23">
        <v>1</v>
      </c>
      <c r="E1386" s="24">
        <f>SUM($D$2:D1386)/SUM($D$2:$D$2846)</f>
        <v>0.87595581988105353</v>
      </c>
      <c r="F1386" s="22" t="s">
        <v>46</v>
      </c>
      <c r="G1386" s="25" t="s">
        <v>125</v>
      </c>
    </row>
    <row r="1387" spans="1:7">
      <c r="A1387" s="21" t="s">
        <v>1489</v>
      </c>
      <c r="B1387" s="22" t="s">
        <v>56</v>
      </c>
      <c r="C1387" s="22" t="s">
        <v>124</v>
      </c>
      <c r="D1387" s="23">
        <v>1</v>
      </c>
      <c r="E1387" s="24">
        <f>SUM($D$2:D1387)/SUM($D$2:$D$2846)</f>
        <v>0.87604078164825827</v>
      </c>
      <c r="F1387" s="22" t="s">
        <v>46</v>
      </c>
      <c r="G1387" s="25" t="s">
        <v>125</v>
      </c>
    </row>
    <row r="1388" spans="1:7">
      <c r="A1388" s="21" t="s">
        <v>1490</v>
      </c>
      <c r="B1388" s="22" t="s">
        <v>56</v>
      </c>
      <c r="C1388" s="22" t="s">
        <v>124</v>
      </c>
      <c r="D1388" s="23">
        <v>1</v>
      </c>
      <c r="E1388" s="24">
        <f>SUM($D$2:D1388)/SUM($D$2:$D$2846)</f>
        <v>0.87612574341546301</v>
      </c>
      <c r="F1388" s="22" t="s">
        <v>46</v>
      </c>
      <c r="G1388" s="25" t="s">
        <v>125</v>
      </c>
    </row>
    <row r="1389" spans="1:7">
      <c r="A1389" s="21" t="s">
        <v>1491</v>
      </c>
      <c r="B1389" s="22" t="s">
        <v>56</v>
      </c>
      <c r="C1389" s="22" t="s">
        <v>124</v>
      </c>
      <c r="D1389" s="23">
        <v>1</v>
      </c>
      <c r="E1389" s="24">
        <f>SUM($D$2:D1389)/SUM($D$2:$D$2846)</f>
        <v>0.87621070518266775</v>
      </c>
      <c r="F1389" s="22" t="s">
        <v>46</v>
      </c>
      <c r="G1389" s="25" t="s">
        <v>125</v>
      </c>
    </row>
    <row r="1390" spans="1:7">
      <c r="A1390" s="21" t="s">
        <v>1492</v>
      </c>
      <c r="B1390" s="22" t="s">
        <v>56</v>
      </c>
      <c r="C1390" s="22" t="s">
        <v>124</v>
      </c>
      <c r="D1390" s="23">
        <v>1</v>
      </c>
      <c r="E1390" s="24">
        <f>SUM($D$2:D1390)/SUM($D$2:$D$2846)</f>
        <v>0.8762956669498726</v>
      </c>
      <c r="F1390" s="22" t="s">
        <v>46</v>
      </c>
      <c r="G1390" s="25" t="s">
        <v>125</v>
      </c>
    </row>
    <row r="1391" spans="1:7">
      <c r="A1391" s="21" t="s">
        <v>1493</v>
      </c>
      <c r="B1391" s="22" t="s">
        <v>56</v>
      </c>
      <c r="C1391" s="22" t="s">
        <v>124</v>
      </c>
      <c r="D1391" s="23">
        <v>1</v>
      </c>
      <c r="E1391" s="24">
        <f>SUM($D$2:D1391)/SUM($D$2:$D$2846)</f>
        <v>0.87638062871707734</v>
      </c>
      <c r="F1391" s="22" t="s">
        <v>46</v>
      </c>
      <c r="G1391" s="25" t="s">
        <v>125</v>
      </c>
    </row>
    <row r="1392" spans="1:7">
      <c r="A1392" s="21" t="s">
        <v>1494</v>
      </c>
      <c r="B1392" s="22" t="s">
        <v>56</v>
      </c>
      <c r="C1392" s="22" t="s">
        <v>124</v>
      </c>
      <c r="D1392" s="23">
        <v>1</v>
      </c>
      <c r="E1392" s="24">
        <f>SUM($D$2:D1392)/SUM($D$2:$D$2846)</f>
        <v>0.87646559048428208</v>
      </c>
      <c r="F1392" s="22" t="s">
        <v>46</v>
      </c>
      <c r="G1392" s="25" t="s">
        <v>125</v>
      </c>
    </row>
    <row r="1393" spans="1:7">
      <c r="A1393" s="21" t="s">
        <v>1495</v>
      </c>
      <c r="B1393" s="22" t="s">
        <v>56</v>
      </c>
      <c r="C1393" s="22" t="s">
        <v>124</v>
      </c>
      <c r="D1393" s="23">
        <v>1</v>
      </c>
      <c r="E1393" s="24">
        <f>SUM($D$2:D1393)/SUM($D$2:$D$2846)</f>
        <v>0.87655055225148681</v>
      </c>
      <c r="F1393" s="22" t="s">
        <v>46</v>
      </c>
      <c r="G1393" s="25" t="s">
        <v>125</v>
      </c>
    </row>
    <row r="1394" spans="1:7">
      <c r="A1394" s="21" t="s">
        <v>1496</v>
      </c>
      <c r="B1394" s="22" t="s">
        <v>56</v>
      </c>
      <c r="C1394" s="22" t="s">
        <v>124</v>
      </c>
      <c r="D1394" s="23">
        <v>1</v>
      </c>
      <c r="E1394" s="24">
        <f>SUM($D$2:D1394)/SUM($D$2:$D$2846)</f>
        <v>0.87663551401869155</v>
      </c>
      <c r="F1394" s="22" t="s">
        <v>46</v>
      </c>
      <c r="G1394" s="25" t="s">
        <v>125</v>
      </c>
    </row>
    <row r="1395" spans="1:7">
      <c r="A1395" s="21" t="s">
        <v>1497</v>
      </c>
      <c r="B1395" s="26" t="s">
        <v>163</v>
      </c>
      <c r="C1395" s="22" t="s">
        <v>45</v>
      </c>
      <c r="D1395" s="23">
        <v>1</v>
      </c>
      <c r="E1395" s="24">
        <f>SUM($D$2:D1395)/SUM($D$2:$D$2846)</f>
        <v>0.87672047578589629</v>
      </c>
      <c r="F1395" s="22" t="s">
        <v>46</v>
      </c>
      <c r="G1395" s="25" t="s">
        <v>164</v>
      </c>
    </row>
    <row r="1396" spans="1:7">
      <c r="A1396" s="21" t="s">
        <v>1498</v>
      </c>
      <c r="B1396" s="22" t="s">
        <v>56</v>
      </c>
      <c r="C1396" s="22" t="s">
        <v>124</v>
      </c>
      <c r="D1396" s="23">
        <v>1</v>
      </c>
      <c r="E1396" s="24">
        <f>SUM($D$2:D1396)/SUM($D$2:$D$2846)</f>
        <v>0.87680543755310114</v>
      </c>
      <c r="F1396" s="22" t="s">
        <v>46</v>
      </c>
      <c r="G1396" s="25" t="s">
        <v>125</v>
      </c>
    </row>
    <row r="1397" spans="1:7">
      <c r="A1397" s="21" t="s">
        <v>1499</v>
      </c>
      <c r="B1397" s="22" t="s">
        <v>56</v>
      </c>
      <c r="C1397" s="22" t="s">
        <v>124</v>
      </c>
      <c r="D1397" s="23">
        <v>1</v>
      </c>
      <c r="E1397" s="24">
        <f>SUM($D$2:D1397)/SUM($D$2:$D$2846)</f>
        <v>0.87689039932030588</v>
      </c>
      <c r="F1397" s="22" t="s">
        <v>46</v>
      </c>
      <c r="G1397" s="25" t="s">
        <v>125</v>
      </c>
    </row>
    <row r="1398" spans="1:7">
      <c r="A1398" s="21" t="s">
        <v>1500</v>
      </c>
      <c r="B1398" s="22" t="s">
        <v>56</v>
      </c>
      <c r="C1398" s="22" t="s">
        <v>124</v>
      </c>
      <c r="D1398" s="23">
        <v>1</v>
      </c>
      <c r="E1398" s="24">
        <f>SUM($D$2:D1398)/SUM($D$2:$D$2846)</f>
        <v>0.87697536108751062</v>
      </c>
      <c r="F1398" s="22" t="s">
        <v>46</v>
      </c>
      <c r="G1398" s="25" t="s">
        <v>125</v>
      </c>
    </row>
    <row r="1399" spans="1:7">
      <c r="A1399" s="21" t="s">
        <v>1501</v>
      </c>
      <c r="B1399" s="22" t="s">
        <v>56</v>
      </c>
      <c r="C1399" s="22" t="s">
        <v>124</v>
      </c>
      <c r="D1399" s="23">
        <v>1</v>
      </c>
      <c r="E1399" s="24">
        <f>SUM($D$2:D1399)/SUM($D$2:$D$2846)</f>
        <v>0.87706032285471536</v>
      </c>
      <c r="F1399" s="22" t="s">
        <v>46</v>
      </c>
      <c r="G1399" s="25" t="s">
        <v>125</v>
      </c>
    </row>
    <row r="1400" spans="1:7">
      <c r="A1400" s="21" t="s">
        <v>1502</v>
      </c>
      <c r="B1400" s="22" t="s">
        <v>56</v>
      </c>
      <c r="C1400" s="22" t="s">
        <v>124</v>
      </c>
      <c r="D1400" s="23">
        <v>1</v>
      </c>
      <c r="E1400" s="24">
        <f>SUM($D$2:D1400)/SUM($D$2:$D$2846)</f>
        <v>0.8771452846219201</v>
      </c>
      <c r="F1400" s="22" t="s">
        <v>46</v>
      </c>
      <c r="G1400" s="25" t="s">
        <v>125</v>
      </c>
    </row>
    <row r="1401" spans="1:7">
      <c r="A1401" s="21" t="s">
        <v>1503</v>
      </c>
      <c r="B1401" s="22" t="s">
        <v>56</v>
      </c>
      <c r="C1401" s="22" t="s">
        <v>124</v>
      </c>
      <c r="D1401" s="23">
        <v>1</v>
      </c>
      <c r="E1401" s="24">
        <f>SUM($D$2:D1401)/SUM($D$2:$D$2846)</f>
        <v>0.87723024638912495</v>
      </c>
      <c r="F1401" s="22" t="s">
        <v>46</v>
      </c>
      <c r="G1401" s="25" t="s">
        <v>125</v>
      </c>
    </row>
    <row r="1402" spans="1:7">
      <c r="A1402" s="21" t="s">
        <v>1504</v>
      </c>
      <c r="B1402" s="22" t="s">
        <v>56</v>
      </c>
      <c r="C1402" s="22" t="s">
        <v>124</v>
      </c>
      <c r="D1402" s="23">
        <v>1</v>
      </c>
      <c r="E1402" s="24">
        <f>SUM($D$2:D1402)/SUM($D$2:$D$2846)</f>
        <v>0.87731520815632968</v>
      </c>
      <c r="F1402" s="22" t="s">
        <v>46</v>
      </c>
      <c r="G1402" s="25" t="s">
        <v>125</v>
      </c>
    </row>
    <row r="1403" spans="1:7">
      <c r="A1403" s="21" t="s">
        <v>1505</v>
      </c>
      <c r="B1403" s="22" t="s">
        <v>56</v>
      </c>
      <c r="C1403" s="22" t="s">
        <v>124</v>
      </c>
      <c r="D1403" s="23">
        <v>1</v>
      </c>
      <c r="E1403" s="24">
        <f>SUM($D$2:D1403)/SUM($D$2:$D$2846)</f>
        <v>0.87740016992353442</v>
      </c>
      <c r="F1403" s="22" t="s">
        <v>46</v>
      </c>
      <c r="G1403" s="25" t="s">
        <v>125</v>
      </c>
    </row>
    <row r="1404" spans="1:7">
      <c r="A1404" s="21" t="s">
        <v>1506</v>
      </c>
      <c r="B1404" s="26" t="s">
        <v>163</v>
      </c>
      <c r="C1404" s="22" t="s">
        <v>45</v>
      </c>
      <c r="D1404" s="23">
        <v>1</v>
      </c>
      <c r="E1404" s="24">
        <f>SUM($D$2:D1404)/SUM($D$2:$D$2846)</f>
        <v>0.87748513169073916</v>
      </c>
      <c r="F1404" s="22" t="s">
        <v>46</v>
      </c>
      <c r="G1404" s="25" t="s">
        <v>164</v>
      </c>
    </row>
    <row r="1405" spans="1:7">
      <c r="A1405" s="21" t="s">
        <v>1507</v>
      </c>
      <c r="B1405" s="22" t="s">
        <v>56</v>
      </c>
      <c r="C1405" s="22" t="s">
        <v>124</v>
      </c>
      <c r="D1405" s="23">
        <v>1</v>
      </c>
      <c r="E1405" s="24">
        <f>SUM($D$2:D1405)/SUM($D$2:$D$2846)</f>
        <v>0.8775700934579439</v>
      </c>
      <c r="F1405" s="22" t="s">
        <v>46</v>
      </c>
      <c r="G1405" s="25" t="s">
        <v>125</v>
      </c>
    </row>
    <row r="1406" spans="1:7">
      <c r="A1406" s="21" t="s">
        <v>1508</v>
      </c>
      <c r="B1406" s="22" t="s">
        <v>56</v>
      </c>
      <c r="C1406" s="22" t="s">
        <v>124</v>
      </c>
      <c r="D1406" s="23">
        <v>1</v>
      </c>
      <c r="E1406" s="24">
        <f>SUM($D$2:D1406)/SUM($D$2:$D$2846)</f>
        <v>0.87765505522514864</v>
      </c>
      <c r="F1406" s="22" t="s">
        <v>46</v>
      </c>
      <c r="G1406" s="25" t="s">
        <v>125</v>
      </c>
    </row>
    <row r="1407" spans="1:7">
      <c r="A1407" s="21" t="s">
        <v>1509</v>
      </c>
      <c r="B1407" s="22" t="s">
        <v>56</v>
      </c>
      <c r="C1407" s="22" t="s">
        <v>124</v>
      </c>
      <c r="D1407" s="23">
        <v>1</v>
      </c>
      <c r="E1407" s="24">
        <f>SUM($D$2:D1407)/SUM($D$2:$D$2846)</f>
        <v>0.87774001699235349</v>
      </c>
      <c r="F1407" s="22" t="s">
        <v>46</v>
      </c>
      <c r="G1407" s="25" t="s">
        <v>125</v>
      </c>
    </row>
    <row r="1408" spans="1:7">
      <c r="A1408" s="21" t="s">
        <v>1510</v>
      </c>
      <c r="B1408" s="22" t="s">
        <v>56</v>
      </c>
      <c r="C1408" s="22" t="s">
        <v>124</v>
      </c>
      <c r="D1408" s="23">
        <v>1</v>
      </c>
      <c r="E1408" s="24">
        <f>SUM($D$2:D1408)/SUM($D$2:$D$2846)</f>
        <v>0.87782497875955823</v>
      </c>
      <c r="F1408" s="22" t="s">
        <v>46</v>
      </c>
      <c r="G1408" s="25" t="s">
        <v>125</v>
      </c>
    </row>
    <row r="1409" spans="1:7">
      <c r="A1409" s="21" t="s">
        <v>1511</v>
      </c>
      <c r="B1409" s="26" t="s">
        <v>163</v>
      </c>
      <c r="C1409" s="22" t="s">
        <v>45</v>
      </c>
      <c r="D1409" s="23">
        <v>1</v>
      </c>
      <c r="E1409" s="24">
        <f>SUM($D$2:D1409)/SUM($D$2:$D$2846)</f>
        <v>0.87790994052676297</v>
      </c>
      <c r="F1409" s="22" t="s">
        <v>46</v>
      </c>
      <c r="G1409" s="25" t="s">
        <v>164</v>
      </c>
    </row>
    <row r="1410" spans="1:7">
      <c r="A1410" s="21" t="s">
        <v>1512</v>
      </c>
      <c r="B1410" s="22" t="s">
        <v>56</v>
      </c>
      <c r="C1410" s="22" t="s">
        <v>124</v>
      </c>
      <c r="D1410" s="23">
        <v>1</v>
      </c>
      <c r="E1410" s="24">
        <f>SUM($D$2:D1410)/SUM($D$2:$D$2846)</f>
        <v>0.87799490229396771</v>
      </c>
      <c r="F1410" s="22" t="s">
        <v>46</v>
      </c>
      <c r="G1410" s="25" t="s">
        <v>125</v>
      </c>
    </row>
    <row r="1411" spans="1:7">
      <c r="A1411" s="21" t="s">
        <v>1513</v>
      </c>
      <c r="B1411" s="22" t="s">
        <v>56</v>
      </c>
      <c r="C1411" s="22" t="s">
        <v>124</v>
      </c>
      <c r="D1411" s="23">
        <v>1</v>
      </c>
      <c r="E1411" s="24">
        <f>SUM($D$2:D1411)/SUM($D$2:$D$2846)</f>
        <v>0.87807986406117244</v>
      </c>
      <c r="F1411" s="22" t="s">
        <v>46</v>
      </c>
      <c r="G1411" s="25" t="s">
        <v>125</v>
      </c>
    </row>
    <row r="1412" spans="1:7">
      <c r="A1412" s="21" t="s">
        <v>1514</v>
      </c>
      <c r="B1412" s="22" t="s">
        <v>56</v>
      </c>
      <c r="C1412" s="22" t="s">
        <v>124</v>
      </c>
      <c r="D1412" s="23">
        <v>1</v>
      </c>
      <c r="E1412" s="24">
        <f>SUM($D$2:D1412)/SUM($D$2:$D$2846)</f>
        <v>0.87816482582837718</v>
      </c>
      <c r="F1412" s="22" t="s">
        <v>46</v>
      </c>
      <c r="G1412" s="25" t="s">
        <v>125</v>
      </c>
    </row>
    <row r="1413" spans="1:7">
      <c r="A1413" s="21" t="s">
        <v>1515</v>
      </c>
      <c r="B1413" s="22" t="s">
        <v>56</v>
      </c>
      <c r="C1413" s="22" t="s">
        <v>124</v>
      </c>
      <c r="D1413" s="23">
        <v>1</v>
      </c>
      <c r="E1413" s="24">
        <f>SUM($D$2:D1413)/SUM($D$2:$D$2846)</f>
        <v>0.87824978759558203</v>
      </c>
      <c r="F1413" s="22" t="s">
        <v>46</v>
      </c>
      <c r="G1413" s="25" t="s">
        <v>125</v>
      </c>
    </row>
    <row r="1414" spans="1:7">
      <c r="A1414" s="21" t="s">
        <v>1516</v>
      </c>
      <c r="B1414" s="22" t="s">
        <v>56</v>
      </c>
      <c r="C1414" s="22" t="s">
        <v>124</v>
      </c>
      <c r="D1414" s="23">
        <v>1</v>
      </c>
      <c r="E1414" s="24">
        <f>SUM($D$2:D1414)/SUM($D$2:$D$2846)</f>
        <v>0.87833474936278677</v>
      </c>
      <c r="F1414" s="22" t="s">
        <v>46</v>
      </c>
      <c r="G1414" s="25" t="s">
        <v>125</v>
      </c>
    </row>
    <row r="1415" spans="1:7">
      <c r="A1415" s="21" t="s">
        <v>1517</v>
      </c>
      <c r="B1415" s="26" t="s">
        <v>163</v>
      </c>
      <c r="C1415" s="22" t="s">
        <v>45</v>
      </c>
      <c r="D1415" s="23">
        <v>1</v>
      </c>
      <c r="E1415" s="24">
        <f>SUM($D$2:D1415)/SUM($D$2:$D$2846)</f>
        <v>0.87841971112999151</v>
      </c>
      <c r="F1415" s="22" t="s">
        <v>46</v>
      </c>
      <c r="G1415" s="25" t="s">
        <v>164</v>
      </c>
    </row>
    <row r="1416" spans="1:7">
      <c r="A1416" s="21" t="s">
        <v>1518</v>
      </c>
      <c r="B1416" s="22" t="s">
        <v>56</v>
      </c>
      <c r="C1416" s="22" t="s">
        <v>124</v>
      </c>
      <c r="D1416" s="23">
        <v>1</v>
      </c>
      <c r="E1416" s="24">
        <f>SUM($D$2:D1416)/SUM($D$2:$D$2846)</f>
        <v>0.87850467289719625</v>
      </c>
      <c r="F1416" s="22" t="s">
        <v>46</v>
      </c>
      <c r="G1416" s="25" t="s">
        <v>125</v>
      </c>
    </row>
    <row r="1417" spans="1:7">
      <c r="A1417" s="21" t="s">
        <v>1519</v>
      </c>
      <c r="B1417" s="22" t="s">
        <v>56</v>
      </c>
      <c r="C1417" s="22" t="s">
        <v>124</v>
      </c>
      <c r="D1417" s="23">
        <v>1</v>
      </c>
      <c r="E1417" s="24">
        <f>SUM($D$2:D1417)/SUM($D$2:$D$2846)</f>
        <v>0.87858963466440099</v>
      </c>
      <c r="F1417" s="22" t="s">
        <v>46</v>
      </c>
      <c r="G1417" s="25" t="s">
        <v>125</v>
      </c>
    </row>
    <row r="1418" spans="1:7">
      <c r="A1418" s="21" t="s">
        <v>1520</v>
      </c>
      <c r="B1418" s="22" t="s">
        <v>56</v>
      </c>
      <c r="C1418" s="22" t="s">
        <v>124</v>
      </c>
      <c r="D1418" s="23">
        <v>1</v>
      </c>
      <c r="E1418" s="24">
        <f>SUM($D$2:D1418)/SUM($D$2:$D$2846)</f>
        <v>0.87867459643160573</v>
      </c>
      <c r="F1418" s="22" t="s">
        <v>46</v>
      </c>
      <c r="G1418" s="25" t="s">
        <v>125</v>
      </c>
    </row>
    <row r="1419" spans="1:7">
      <c r="A1419" s="21" t="s">
        <v>1521</v>
      </c>
      <c r="B1419" s="26" t="s">
        <v>163</v>
      </c>
      <c r="C1419" s="22" t="s">
        <v>45</v>
      </c>
      <c r="D1419" s="23">
        <v>1</v>
      </c>
      <c r="E1419" s="24">
        <f>SUM($D$2:D1419)/SUM($D$2:$D$2846)</f>
        <v>0.87875955819881058</v>
      </c>
      <c r="F1419" s="22" t="s">
        <v>46</v>
      </c>
      <c r="G1419" s="25" t="s">
        <v>164</v>
      </c>
    </row>
    <row r="1420" spans="1:7">
      <c r="A1420" s="21" t="s">
        <v>1522</v>
      </c>
      <c r="B1420" s="22" t="s">
        <v>56</v>
      </c>
      <c r="C1420" s="22" t="s">
        <v>124</v>
      </c>
      <c r="D1420" s="23">
        <v>1</v>
      </c>
      <c r="E1420" s="24">
        <f>SUM($D$2:D1420)/SUM($D$2:$D$2846)</f>
        <v>0.87884451996601531</v>
      </c>
      <c r="F1420" s="22" t="s">
        <v>46</v>
      </c>
      <c r="G1420" s="25" t="s">
        <v>125</v>
      </c>
    </row>
    <row r="1421" spans="1:7">
      <c r="A1421" s="21" t="s">
        <v>1523</v>
      </c>
      <c r="B1421" s="22" t="s">
        <v>56</v>
      </c>
      <c r="C1421" s="22" t="s">
        <v>124</v>
      </c>
      <c r="D1421" s="23">
        <v>1</v>
      </c>
      <c r="E1421" s="24">
        <f>SUM($D$2:D1421)/SUM($D$2:$D$2846)</f>
        <v>0.87892948173322005</v>
      </c>
      <c r="F1421" s="22" t="s">
        <v>46</v>
      </c>
      <c r="G1421" s="25" t="s">
        <v>125</v>
      </c>
    </row>
    <row r="1422" spans="1:7">
      <c r="A1422" s="21" t="s">
        <v>1524</v>
      </c>
      <c r="B1422" s="22" t="s">
        <v>56</v>
      </c>
      <c r="C1422" s="22" t="s">
        <v>124</v>
      </c>
      <c r="D1422" s="23">
        <v>1</v>
      </c>
      <c r="E1422" s="24">
        <f>SUM($D$2:D1422)/SUM($D$2:$D$2846)</f>
        <v>0.87901444350042479</v>
      </c>
      <c r="F1422" s="22" t="s">
        <v>46</v>
      </c>
      <c r="G1422" s="25" t="s">
        <v>125</v>
      </c>
    </row>
    <row r="1423" spans="1:7">
      <c r="A1423" s="21" t="s">
        <v>1525</v>
      </c>
      <c r="B1423" s="22" t="s">
        <v>56</v>
      </c>
      <c r="C1423" s="22" t="s">
        <v>124</v>
      </c>
      <c r="D1423" s="23">
        <v>1</v>
      </c>
      <c r="E1423" s="24">
        <f>SUM($D$2:D1423)/SUM($D$2:$D$2846)</f>
        <v>0.87909940526762953</v>
      </c>
      <c r="F1423" s="22" t="s">
        <v>46</v>
      </c>
      <c r="G1423" s="25" t="s">
        <v>125</v>
      </c>
    </row>
    <row r="1424" spans="1:7">
      <c r="A1424" s="21" t="s">
        <v>1526</v>
      </c>
      <c r="B1424" s="22" t="s">
        <v>56</v>
      </c>
      <c r="C1424" s="22" t="s">
        <v>124</v>
      </c>
      <c r="D1424" s="23">
        <v>1</v>
      </c>
      <c r="E1424" s="24">
        <f>SUM($D$2:D1424)/SUM($D$2:$D$2846)</f>
        <v>0.87918436703483438</v>
      </c>
      <c r="F1424" s="22" t="s">
        <v>46</v>
      </c>
      <c r="G1424" s="25" t="s">
        <v>125</v>
      </c>
    </row>
    <row r="1425" spans="1:7">
      <c r="A1425" s="21" t="s">
        <v>1527</v>
      </c>
      <c r="B1425" s="26" t="s">
        <v>163</v>
      </c>
      <c r="C1425" s="22" t="s">
        <v>45</v>
      </c>
      <c r="D1425" s="23">
        <v>1</v>
      </c>
      <c r="E1425" s="24">
        <f>SUM($D$2:D1425)/SUM($D$2:$D$2846)</f>
        <v>0.87926932880203912</v>
      </c>
      <c r="F1425" s="22" t="s">
        <v>46</v>
      </c>
      <c r="G1425" s="25" t="s">
        <v>164</v>
      </c>
    </row>
    <row r="1426" spans="1:7">
      <c r="A1426" s="21" t="s">
        <v>1528</v>
      </c>
      <c r="B1426" s="22" t="s">
        <v>56</v>
      </c>
      <c r="C1426" s="22" t="s">
        <v>124</v>
      </c>
      <c r="D1426" s="23">
        <v>1</v>
      </c>
      <c r="E1426" s="24">
        <f>SUM($D$2:D1426)/SUM($D$2:$D$2846)</f>
        <v>0.87935429056924386</v>
      </c>
      <c r="F1426" s="22" t="s">
        <v>46</v>
      </c>
      <c r="G1426" s="25" t="s">
        <v>125</v>
      </c>
    </row>
    <row r="1427" spans="1:7">
      <c r="A1427" s="21" t="s">
        <v>1529</v>
      </c>
      <c r="B1427" s="22" t="s">
        <v>56</v>
      </c>
      <c r="C1427" s="22" t="s">
        <v>124</v>
      </c>
      <c r="D1427" s="23">
        <v>1</v>
      </c>
      <c r="E1427" s="24">
        <f>SUM($D$2:D1427)/SUM($D$2:$D$2846)</f>
        <v>0.8794392523364486</v>
      </c>
      <c r="F1427" s="22" t="s">
        <v>46</v>
      </c>
      <c r="G1427" s="25" t="s">
        <v>125</v>
      </c>
    </row>
    <row r="1428" spans="1:7">
      <c r="A1428" s="21" t="s">
        <v>1530</v>
      </c>
      <c r="B1428" s="22" t="s">
        <v>56</v>
      </c>
      <c r="C1428" s="22" t="s">
        <v>124</v>
      </c>
      <c r="D1428" s="23">
        <v>1</v>
      </c>
      <c r="E1428" s="24">
        <f>SUM($D$2:D1428)/SUM($D$2:$D$2846)</f>
        <v>0.87952421410365333</v>
      </c>
      <c r="F1428" s="22" t="s">
        <v>46</v>
      </c>
      <c r="G1428" s="25" t="s">
        <v>125</v>
      </c>
    </row>
    <row r="1429" spans="1:7">
      <c r="A1429" s="21" t="s">
        <v>1531</v>
      </c>
      <c r="B1429" s="22" t="s">
        <v>56</v>
      </c>
      <c r="C1429" s="22" t="s">
        <v>124</v>
      </c>
      <c r="D1429" s="23">
        <v>1</v>
      </c>
      <c r="E1429" s="24">
        <f>SUM($D$2:D1429)/SUM($D$2:$D$2846)</f>
        <v>0.87960917587085807</v>
      </c>
      <c r="F1429" s="22" t="s">
        <v>46</v>
      </c>
      <c r="G1429" s="25" t="s">
        <v>125</v>
      </c>
    </row>
    <row r="1430" spans="1:7">
      <c r="A1430" s="21" t="s">
        <v>1532</v>
      </c>
      <c r="B1430" s="22" t="s">
        <v>56</v>
      </c>
      <c r="C1430" s="22" t="s">
        <v>124</v>
      </c>
      <c r="D1430" s="23">
        <v>1</v>
      </c>
      <c r="E1430" s="24">
        <f>SUM($D$2:D1430)/SUM($D$2:$D$2846)</f>
        <v>0.87969413763806292</v>
      </c>
      <c r="F1430" s="22" t="s">
        <v>46</v>
      </c>
      <c r="G1430" s="25" t="s">
        <v>125</v>
      </c>
    </row>
    <row r="1431" spans="1:7">
      <c r="A1431" s="21" t="s">
        <v>1533</v>
      </c>
      <c r="B1431" s="22" t="s">
        <v>56</v>
      </c>
      <c r="C1431" s="22" t="s">
        <v>124</v>
      </c>
      <c r="D1431" s="23">
        <v>1</v>
      </c>
      <c r="E1431" s="24">
        <f>SUM($D$2:D1431)/SUM($D$2:$D$2846)</f>
        <v>0.87977909940526766</v>
      </c>
      <c r="F1431" s="22" t="s">
        <v>46</v>
      </c>
      <c r="G1431" s="25" t="s">
        <v>125</v>
      </c>
    </row>
    <row r="1432" spans="1:7">
      <c r="A1432" s="21" t="s">
        <v>1534</v>
      </c>
      <c r="B1432" s="22" t="s">
        <v>56</v>
      </c>
      <c r="C1432" s="22" t="s">
        <v>124</v>
      </c>
      <c r="D1432" s="23">
        <v>1</v>
      </c>
      <c r="E1432" s="24">
        <f>SUM($D$2:D1432)/SUM($D$2:$D$2846)</f>
        <v>0.8798640611724724</v>
      </c>
      <c r="F1432" s="22" t="s">
        <v>46</v>
      </c>
      <c r="G1432" s="25" t="s">
        <v>125</v>
      </c>
    </row>
    <row r="1433" spans="1:7">
      <c r="A1433" s="21" t="s">
        <v>1535</v>
      </c>
      <c r="B1433" s="22" t="s">
        <v>56</v>
      </c>
      <c r="C1433" s="22" t="s">
        <v>124</v>
      </c>
      <c r="D1433" s="23">
        <v>1</v>
      </c>
      <c r="E1433" s="24">
        <f>SUM($D$2:D1433)/SUM($D$2:$D$2846)</f>
        <v>0.87994902293967714</v>
      </c>
      <c r="F1433" s="22" t="s">
        <v>46</v>
      </c>
      <c r="G1433" s="25" t="s">
        <v>125</v>
      </c>
    </row>
    <row r="1434" spans="1:7">
      <c r="A1434" s="21" t="s">
        <v>1536</v>
      </c>
      <c r="B1434" s="22" t="s">
        <v>56</v>
      </c>
      <c r="C1434" s="22" t="s">
        <v>124</v>
      </c>
      <c r="D1434" s="23">
        <v>1</v>
      </c>
      <c r="E1434" s="24">
        <f>SUM($D$2:D1434)/SUM($D$2:$D$2846)</f>
        <v>0.88003398470688188</v>
      </c>
      <c r="F1434" s="22" t="s">
        <v>46</v>
      </c>
      <c r="G1434" s="25" t="s">
        <v>125</v>
      </c>
    </row>
    <row r="1435" spans="1:7">
      <c r="A1435" s="21" t="s">
        <v>1537</v>
      </c>
      <c r="B1435" s="22" t="s">
        <v>56</v>
      </c>
      <c r="C1435" s="22" t="s">
        <v>124</v>
      </c>
      <c r="D1435" s="23">
        <v>1</v>
      </c>
      <c r="E1435" s="24">
        <f>SUM($D$2:D1435)/SUM($D$2:$D$2846)</f>
        <v>0.88011894647408662</v>
      </c>
      <c r="F1435" s="22" t="s">
        <v>46</v>
      </c>
      <c r="G1435" s="25" t="s">
        <v>125</v>
      </c>
    </row>
    <row r="1436" spans="1:7">
      <c r="A1436" s="21" t="s">
        <v>1538</v>
      </c>
      <c r="B1436" s="22" t="s">
        <v>56</v>
      </c>
      <c r="C1436" s="22" t="s">
        <v>124</v>
      </c>
      <c r="D1436" s="23">
        <v>1</v>
      </c>
      <c r="E1436" s="24">
        <f>SUM($D$2:D1436)/SUM($D$2:$D$2846)</f>
        <v>0.88020390824129147</v>
      </c>
      <c r="F1436" s="22" t="s">
        <v>46</v>
      </c>
      <c r="G1436" s="25" t="s">
        <v>125</v>
      </c>
    </row>
    <row r="1437" spans="1:7">
      <c r="A1437" s="21" t="s">
        <v>1539</v>
      </c>
      <c r="B1437" s="22" t="s">
        <v>56</v>
      </c>
      <c r="C1437" s="22" t="s">
        <v>124</v>
      </c>
      <c r="D1437" s="23">
        <v>1</v>
      </c>
      <c r="E1437" s="24">
        <f>SUM($D$2:D1437)/SUM($D$2:$D$2846)</f>
        <v>0.8802888700084962</v>
      </c>
      <c r="F1437" s="22" t="s">
        <v>46</v>
      </c>
      <c r="G1437" s="25" t="s">
        <v>125</v>
      </c>
    </row>
    <row r="1438" spans="1:7">
      <c r="A1438" s="21" t="s">
        <v>1540</v>
      </c>
      <c r="B1438" s="22" t="s">
        <v>56</v>
      </c>
      <c r="C1438" s="22" t="s">
        <v>124</v>
      </c>
      <c r="D1438" s="23">
        <v>1</v>
      </c>
      <c r="E1438" s="24">
        <f>SUM($D$2:D1438)/SUM($D$2:$D$2846)</f>
        <v>0.88037383177570094</v>
      </c>
      <c r="F1438" s="22" t="s">
        <v>46</v>
      </c>
      <c r="G1438" s="25" t="s">
        <v>125</v>
      </c>
    </row>
    <row r="1439" spans="1:7">
      <c r="A1439" s="21" t="s">
        <v>1541</v>
      </c>
      <c r="B1439" s="22" t="s">
        <v>56</v>
      </c>
      <c r="C1439" s="22" t="s">
        <v>124</v>
      </c>
      <c r="D1439" s="23">
        <v>1</v>
      </c>
      <c r="E1439" s="24">
        <f>SUM($D$2:D1439)/SUM($D$2:$D$2846)</f>
        <v>0.88045879354290568</v>
      </c>
      <c r="F1439" s="22" t="s">
        <v>46</v>
      </c>
      <c r="G1439" s="25" t="s">
        <v>125</v>
      </c>
    </row>
    <row r="1440" spans="1:7">
      <c r="A1440" s="21" t="s">
        <v>1542</v>
      </c>
      <c r="B1440" s="22" t="s">
        <v>56</v>
      </c>
      <c r="C1440" s="22" t="s">
        <v>124</v>
      </c>
      <c r="D1440" s="23">
        <v>1</v>
      </c>
      <c r="E1440" s="24">
        <f>SUM($D$2:D1440)/SUM($D$2:$D$2846)</f>
        <v>0.88054375531011042</v>
      </c>
      <c r="F1440" s="22" t="s">
        <v>46</v>
      </c>
      <c r="G1440" s="25" t="s">
        <v>125</v>
      </c>
    </row>
    <row r="1441" spans="1:7">
      <c r="A1441" s="21" t="s">
        <v>1543</v>
      </c>
      <c r="B1441" s="22" t="s">
        <v>56</v>
      </c>
      <c r="C1441" s="22" t="s">
        <v>124</v>
      </c>
      <c r="D1441" s="23">
        <v>1</v>
      </c>
      <c r="E1441" s="24">
        <f>SUM($D$2:D1441)/SUM($D$2:$D$2846)</f>
        <v>0.88062871707731516</v>
      </c>
      <c r="F1441" s="22" t="s">
        <v>46</v>
      </c>
      <c r="G1441" s="25" t="s">
        <v>125</v>
      </c>
    </row>
    <row r="1442" spans="1:7">
      <c r="A1442" s="21" t="s">
        <v>1544</v>
      </c>
      <c r="B1442" s="22" t="s">
        <v>56</v>
      </c>
      <c r="C1442" s="22" t="s">
        <v>124</v>
      </c>
      <c r="D1442" s="23">
        <v>1</v>
      </c>
      <c r="E1442" s="24">
        <f>SUM($D$2:D1442)/SUM($D$2:$D$2846)</f>
        <v>0.88071367884452001</v>
      </c>
      <c r="F1442" s="22" t="s">
        <v>46</v>
      </c>
      <c r="G1442" s="25" t="s">
        <v>125</v>
      </c>
    </row>
    <row r="1443" spans="1:7">
      <c r="A1443" s="21" t="s">
        <v>1545</v>
      </c>
      <c r="B1443" s="22" t="s">
        <v>56</v>
      </c>
      <c r="C1443" s="22" t="s">
        <v>124</v>
      </c>
      <c r="D1443" s="23">
        <v>1</v>
      </c>
      <c r="E1443" s="24">
        <f>SUM($D$2:D1443)/SUM($D$2:$D$2846)</f>
        <v>0.88079864061172475</v>
      </c>
      <c r="F1443" s="22" t="s">
        <v>46</v>
      </c>
      <c r="G1443" s="25" t="s">
        <v>125</v>
      </c>
    </row>
    <row r="1444" spans="1:7">
      <c r="A1444" s="21" t="s">
        <v>1546</v>
      </c>
      <c r="B1444" s="22" t="s">
        <v>56</v>
      </c>
      <c r="C1444" s="22" t="s">
        <v>124</v>
      </c>
      <c r="D1444" s="23">
        <v>1</v>
      </c>
      <c r="E1444" s="24">
        <f>SUM($D$2:D1444)/SUM($D$2:$D$2846)</f>
        <v>0.88088360237892949</v>
      </c>
      <c r="F1444" s="22" t="s">
        <v>46</v>
      </c>
      <c r="G1444" s="25" t="s">
        <v>125</v>
      </c>
    </row>
    <row r="1445" spans="1:7">
      <c r="A1445" s="21" t="s">
        <v>1547</v>
      </c>
      <c r="B1445" s="22" t="s">
        <v>56</v>
      </c>
      <c r="C1445" s="22" t="s">
        <v>124</v>
      </c>
      <c r="D1445" s="23">
        <v>1</v>
      </c>
      <c r="E1445" s="24">
        <f>SUM($D$2:D1445)/SUM($D$2:$D$2846)</f>
        <v>0.88096856414613423</v>
      </c>
      <c r="F1445" s="22" t="s">
        <v>46</v>
      </c>
      <c r="G1445" s="25" t="s">
        <v>125</v>
      </c>
    </row>
    <row r="1446" spans="1:7">
      <c r="A1446" s="21" t="s">
        <v>1548</v>
      </c>
      <c r="B1446" s="22" t="s">
        <v>56</v>
      </c>
      <c r="C1446" s="22" t="s">
        <v>124</v>
      </c>
      <c r="D1446" s="23">
        <v>1</v>
      </c>
      <c r="E1446" s="24">
        <f>SUM($D$2:D1446)/SUM($D$2:$D$2846)</f>
        <v>0.88105352591333896</v>
      </c>
      <c r="F1446" s="22" t="s">
        <v>46</v>
      </c>
      <c r="G1446" s="25" t="s">
        <v>125</v>
      </c>
    </row>
    <row r="1447" spans="1:7">
      <c r="A1447" s="21" t="s">
        <v>1549</v>
      </c>
      <c r="B1447" s="26" t="s">
        <v>163</v>
      </c>
      <c r="C1447" s="22" t="s">
        <v>45</v>
      </c>
      <c r="D1447" s="23">
        <v>1</v>
      </c>
      <c r="E1447" s="24">
        <f>SUM($D$2:D1447)/SUM($D$2:$D$2846)</f>
        <v>0.8811384876805437</v>
      </c>
      <c r="F1447" s="22" t="s">
        <v>46</v>
      </c>
      <c r="G1447" s="25" t="s">
        <v>164</v>
      </c>
    </row>
    <row r="1448" spans="1:7">
      <c r="A1448" s="21" t="s">
        <v>1550</v>
      </c>
      <c r="B1448" s="26" t="s">
        <v>163</v>
      </c>
      <c r="C1448" s="22" t="s">
        <v>45</v>
      </c>
      <c r="D1448" s="23">
        <v>1</v>
      </c>
      <c r="E1448" s="24">
        <f>SUM($D$2:D1448)/SUM($D$2:$D$2846)</f>
        <v>0.88122344944774855</v>
      </c>
      <c r="F1448" s="22" t="s">
        <v>46</v>
      </c>
      <c r="G1448" s="25" t="s">
        <v>164</v>
      </c>
    </row>
    <row r="1449" spans="1:7">
      <c r="A1449" s="21" t="s">
        <v>1551</v>
      </c>
      <c r="B1449" s="22" t="s">
        <v>56</v>
      </c>
      <c r="C1449" s="22" t="s">
        <v>124</v>
      </c>
      <c r="D1449" s="23">
        <v>1</v>
      </c>
      <c r="E1449" s="24">
        <f>SUM($D$2:D1449)/SUM($D$2:$D$2846)</f>
        <v>0.88130841121495329</v>
      </c>
      <c r="F1449" s="22" t="s">
        <v>46</v>
      </c>
      <c r="G1449" s="25" t="s">
        <v>125</v>
      </c>
    </row>
    <row r="1450" spans="1:7">
      <c r="A1450" s="21" t="s">
        <v>1552</v>
      </c>
      <c r="B1450" s="22" t="s">
        <v>56</v>
      </c>
      <c r="C1450" s="22" t="s">
        <v>124</v>
      </c>
      <c r="D1450" s="23">
        <v>1</v>
      </c>
      <c r="E1450" s="24">
        <f>SUM($D$2:D1450)/SUM($D$2:$D$2846)</f>
        <v>0.88139337298215803</v>
      </c>
      <c r="F1450" s="22" t="s">
        <v>46</v>
      </c>
      <c r="G1450" s="25" t="s">
        <v>125</v>
      </c>
    </row>
    <row r="1451" spans="1:7">
      <c r="A1451" s="21" t="s">
        <v>1553</v>
      </c>
      <c r="B1451" s="22" t="s">
        <v>56</v>
      </c>
      <c r="C1451" s="22" t="s">
        <v>124</v>
      </c>
      <c r="D1451" s="23">
        <v>1</v>
      </c>
      <c r="E1451" s="24">
        <f>SUM($D$2:D1451)/SUM($D$2:$D$2846)</f>
        <v>0.88147833474936277</v>
      </c>
      <c r="F1451" s="22" t="s">
        <v>46</v>
      </c>
      <c r="G1451" s="25" t="s">
        <v>125</v>
      </c>
    </row>
    <row r="1452" spans="1:7">
      <c r="A1452" s="21" t="s">
        <v>1554</v>
      </c>
      <c r="B1452" s="22" t="s">
        <v>56</v>
      </c>
      <c r="C1452" s="22" t="s">
        <v>124</v>
      </c>
      <c r="D1452" s="23">
        <v>1</v>
      </c>
      <c r="E1452" s="24">
        <f>SUM($D$2:D1452)/SUM($D$2:$D$2846)</f>
        <v>0.88156329651656751</v>
      </c>
      <c r="F1452" s="22" t="s">
        <v>46</v>
      </c>
      <c r="G1452" s="25" t="s">
        <v>125</v>
      </c>
    </row>
    <row r="1453" spans="1:7">
      <c r="A1453" s="21" t="s">
        <v>1555</v>
      </c>
      <c r="B1453" s="26" t="s">
        <v>163</v>
      </c>
      <c r="C1453" s="22" t="s">
        <v>45</v>
      </c>
      <c r="D1453" s="23">
        <v>1</v>
      </c>
      <c r="E1453" s="24">
        <f>SUM($D$2:D1453)/SUM($D$2:$D$2846)</f>
        <v>0.88164825828377236</v>
      </c>
      <c r="F1453" s="22" t="s">
        <v>46</v>
      </c>
      <c r="G1453" s="25" t="s">
        <v>164</v>
      </c>
    </row>
    <row r="1454" spans="1:7">
      <c r="A1454" s="21" t="s">
        <v>1556</v>
      </c>
      <c r="B1454" s="22" t="s">
        <v>56</v>
      </c>
      <c r="C1454" s="22" t="s">
        <v>124</v>
      </c>
      <c r="D1454" s="23">
        <v>1</v>
      </c>
      <c r="E1454" s="24">
        <f>SUM($D$2:D1454)/SUM($D$2:$D$2846)</f>
        <v>0.8817332200509771</v>
      </c>
      <c r="F1454" s="22" t="s">
        <v>46</v>
      </c>
      <c r="G1454" s="25" t="s">
        <v>125</v>
      </c>
    </row>
    <row r="1455" spans="1:7">
      <c r="A1455" s="21" t="s">
        <v>1557</v>
      </c>
      <c r="B1455" s="22" t="s">
        <v>56</v>
      </c>
      <c r="C1455" s="22" t="s">
        <v>124</v>
      </c>
      <c r="D1455" s="23">
        <v>1</v>
      </c>
      <c r="E1455" s="24">
        <f>SUM($D$2:D1455)/SUM($D$2:$D$2846)</f>
        <v>0.88181818181818183</v>
      </c>
      <c r="F1455" s="22" t="s">
        <v>46</v>
      </c>
      <c r="G1455" s="25" t="s">
        <v>125</v>
      </c>
    </row>
    <row r="1456" spans="1:7">
      <c r="A1456" s="21" t="s">
        <v>1558</v>
      </c>
      <c r="B1456" s="22" t="s">
        <v>56</v>
      </c>
      <c r="C1456" s="22" t="s">
        <v>124</v>
      </c>
      <c r="D1456" s="23">
        <v>1</v>
      </c>
      <c r="E1456" s="24">
        <f>SUM($D$2:D1456)/SUM($D$2:$D$2846)</f>
        <v>0.88190314358538657</v>
      </c>
      <c r="F1456" s="22" t="s">
        <v>46</v>
      </c>
      <c r="G1456" s="25" t="s">
        <v>125</v>
      </c>
    </row>
    <row r="1457" spans="1:7">
      <c r="A1457" s="21" t="s">
        <v>1559</v>
      </c>
      <c r="B1457" s="22" t="s">
        <v>56</v>
      </c>
      <c r="C1457" s="22" t="s">
        <v>124</v>
      </c>
      <c r="D1457" s="23">
        <v>1</v>
      </c>
      <c r="E1457" s="24">
        <f>SUM($D$2:D1457)/SUM($D$2:$D$2846)</f>
        <v>0.88198810535259131</v>
      </c>
      <c r="F1457" s="22" t="s">
        <v>46</v>
      </c>
      <c r="G1457" s="25" t="s">
        <v>125</v>
      </c>
    </row>
    <row r="1458" spans="1:7">
      <c r="A1458" s="21" t="s">
        <v>1560</v>
      </c>
      <c r="B1458" s="22" t="s">
        <v>56</v>
      </c>
      <c r="C1458" s="22" t="s">
        <v>124</v>
      </c>
      <c r="D1458" s="23">
        <v>1</v>
      </c>
      <c r="E1458" s="24">
        <f>SUM($D$2:D1458)/SUM($D$2:$D$2846)</f>
        <v>0.88207306711979605</v>
      </c>
      <c r="F1458" s="22" t="s">
        <v>46</v>
      </c>
      <c r="G1458" s="25" t="s">
        <v>125</v>
      </c>
    </row>
    <row r="1459" spans="1:7">
      <c r="A1459" s="21" t="s">
        <v>1561</v>
      </c>
      <c r="B1459" s="22" t="s">
        <v>56</v>
      </c>
      <c r="C1459" s="22" t="s">
        <v>124</v>
      </c>
      <c r="D1459" s="23">
        <v>1</v>
      </c>
      <c r="E1459" s="24">
        <f>SUM($D$2:D1459)/SUM($D$2:$D$2846)</f>
        <v>0.8821580288870009</v>
      </c>
      <c r="F1459" s="22" t="s">
        <v>46</v>
      </c>
      <c r="G1459" s="25" t="s">
        <v>125</v>
      </c>
    </row>
    <row r="1460" spans="1:7">
      <c r="A1460" s="21" t="s">
        <v>1562</v>
      </c>
      <c r="B1460" s="22" t="s">
        <v>56</v>
      </c>
      <c r="C1460" s="22" t="s">
        <v>124</v>
      </c>
      <c r="D1460" s="23">
        <v>1</v>
      </c>
      <c r="E1460" s="24">
        <f>SUM($D$2:D1460)/SUM($D$2:$D$2846)</f>
        <v>0.88224299065420564</v>
      </c>
      <c r="F1460" s="22" t="s">
        <v>46</v>
      </c>
      <c r="G1460" s="25" t="s">
        <v>125</v>
      </c>
    </row>
    <row r="1461" spans="1:7">
      <c r="A1461" s="21" t="s">
        <v>1563</v>
      </c>
      <c r="B1461" s="22" t="s">
        <v>56</v>
      </c>
      <c r="C1461" s="22" t="s">
        <v>124</v>
      </c>
      <c r="D1461" s="23">
        <v>1</v>
      </c>
      <c r="E1461" s="24">
        <f>SUM($D$2:D1461)/SUM($D$2:$D$2846)</f>
        <v>0.88232795242141038</v>
      </c>
      <c r="F1461" s="22" t="s">
        <v>46</v>
      </c>
      <c r="G1461" s="25" t="s">
        <v>125</v>
      </c>
    </row>
    <row r="1462" spans="1:7">
      <c r="A1462" s="21" t="s">
        <v>1564</v>
      </c>
      <c r="B1462" s="26" t="s">
        <v>163</v>
      </c>
      <c r="C1462" s="22" t="s">
        <v>45</v>
      </c>
      <c r="D1462" s="23">
        <v>1</v>
      </c>
      <c r="E1462" s="24">
        <f>SUM($D$2:D1462)/SUM($D$2:$D$2846)</f>
        <v>0.88241291418861512</v>
      </c>
      <c r="F1462" s="22" t="s">
        <v>46</v>
      </c>
      <c r="G1462" s="25" t="s">
        <v>164</v>
      </c>
    </row>
    <row r="1463" spans="1:7">
      <c r="A1463" s="21" t="s">
        <v>1565</v>
      </c>
      <c r="B1463" s="22" t="s">
        <v>56</v>
      </c>
      <c r="C1463" s="22" t="s">
        <v>124</v>
      </c>
      <c r="D1463" s="23">
        <v>1</v>
      </c>
      <c r="E1463" s="24">
        <f>SUM($D$2:D1463)/SUM($D$2:$D$2846)</f>
        <v>0.88249787595581985</v>
      </c>
      <c r="F1463" s="22" t="s">
        <v>46</v>
      </c>
      <c r="G1463" s="25" t="s">
        <v>125</v>
      </c>
    </row>
    <row r="1464" spans="1:7">
      <c r="A1464" s="21" t="s">
        <v>1566</v>
      </c>
      <c r="B1464" s="22" t="s">
        <v>56</v>
      </c>
      <c r="C1464" s="22" t="s">
        <v>124</v>
      </c>
      <c r="D1464" s="23">
        <v>1</v>
      </c>
      <c r="E1464" s="24">
        <f>SUM($D$2:D1464)/SUM($D$2:$D$2846)</f>
        <v>0.88258283772302459</v>
      </c>
      <c r="F1464" s="22" t="s">
        <v>46</v>
      </c>
      <c r="G1464" s="25" t="s">
        <v>125</v>
      </c>
    </row>
    <row r="1465" spans="1:7">
      <c r="A1465" s="21" t="s">
        <v>1567</v>
      </c>
      <c r="B1465" s="22" t="s">
        <v>56</v>
      </c>
      <c r="C1465" s="22" t="s">
        <v>124</v>
      </c>
      <c r="D1465" s="23">
        <v>1</v>
      </c>
      <c r="E1465" s="24">
        <f>SUM($D$2:D1465)/SUM($D$2:$D$2846)</f>
        <v>0.88266779949022944</v>
      </c>
      <c r="F1465" s="22" t="s">
        <v>46</v>
      </c>
      <c r="G1465" s="25" t="s">
        <v>125</v>
      </c>
    </row>
    <row r="1466" spans="1:7">
      <c r="A1466" s="21" t="s">
        <v>1568</v>
      </c>
      <c r="B1466" s="22" t="s">
        <v>56</v>
      </c>
      <c r="C1466" s="22" t="s">
        <v>124</v>
      </c>
      <c r="D1466" s="23">
        <v>1</v>
      </c>
      <c r="E1466" s="24">
        <f>SUM($D$2:D1466)/SUM($D$2:$D$2846)</f>
        <v>0.88275276125743418</v>
      </c>
      <c r="F1466" s="22" t="s">
        <v>46</v>
      </c>
      <c r="G1466" s="25" t="s">
        <v>125</v>
      </c>
    </row>
    <row r="1467" spans="1:7">
      <c r="A1467" s="21" t="s">
        <v>1569</v>
      </c>
      <c r="B1467" s="26" t="s">
        <v>163</v>
      </c>
      <c r="C1467" s="22" t="s">
        <v>45</v>
      </c>
      <c r="D1467" s="23">
        <v>1</v>
      </c>
      <c r="E1467" s="24">
        <f>SUM($D$2:D1467)/SUM($D$2:$D$2846)</f>
        <v>0.88283772302463892</v>
      </c>
      <c r="F1467" s="22" t="s">
        <v>46</v>
      </c>
      <c r="G1467" s="25" t="s">
        <v>164</v>
      </c>
    </row>
    <row r="1468" spans="1:7">
      <c r="A1468" s="21" t="s">
        <v>1570</v>
      </c>
      <c r="B1468" s="22" t="s">
        <v>56</v>
      </c>
      <c r="C1468" s="22" t="s">
        <v>124</v>
      </c>
      <c r="D1468" s="23">
        <v>1</v>
      </c>
      <c r="E1468" s="24">
        <f>SUM($D$2:D1468)/SUM($D$2:$D$2846)</f>
        <v>0.88292268479184366</v>
      </c>
      <c r="F1468" s="22" t="s">
        <v>46</v>
      </c>
      <c r="G1468" s="25" t="s">
        <v>125</v>
      </c>
    </row>
    <row r="1469" spans="1:7">
      <c r="A1469" s="21" t="s">
        <v>1571</v>
      </c>
      <c r="B1469" s="22" t="s">
        <v>56</v>
      </c>
      <c r="C1469" s="22" t="s">
        <v>124</v>
      </c>
      <c r="D1469" s="23">
        <v>1</v>
      </c>
      <c r="E1469" s="24">
        <f>SUM($D$2:D1469)/SUM($D$2:$D$2846)</f>
        <v>0.8830076465590484</v>
      </c>
      <c r="F1469" s="22" t="s">
        <v>46</v>
      </c>
      <c r="G1469" s="25" t="s">
        <v>125</v>
      </c>
    </row>
    <row r="1470" spans="1:7">
      <c r="A1470" s="21" t="s">
        <v>1572</v>
      </c>
      <c r="B1470" s="22" t="s">
        <v>56</v>
      </c>
      <c r="C1470" s="22" t="s">
        <v>124</v>
      </c>
      <c r="D1470" s="23">
        <v>1</v>
      </c>
      <c r="E1470" s="24">
        <f>SUM($D$2:D1470)/SUM($D$2:$D$2846)</f>
        <v>0.88309260832625314</v>
      </c>
      <c r="F1470" s="22" t="s">
        <v>46</v>
      </c>
      <c r="G1470" s="25" t="s">
        <v>125</v>
      </c>
    </row>
    <row r="1471" spans="1:7">
      <c r="A1471" s="21" t="s">
        <v>1573</v>
      </c>
      <c r="B1471" s="22" t="s">
        <v>56</v>
      </c>
      <c r="C1471" s="22" t="s">
        <v>124</v>
      </c>
      <c r="D1471" s="23">
        <v>1</v>
      </c>
      <c r="E1471" s="24">
        <f>SUM($D$2:D1471)/SUM($D$2:$D$2846)</f>
        <v>0.88317757009345799</v>
      </c>
      <c r="F1471" s="22" t="s">
        <v>46</v>
      </c>
      <c r="G1471" s="25" t="s">
        <v>125</v>
      </c>
    </row>
    <row r="1472" spans="1:7">
      <c r="A1472" s="21" t="s">
        <v>1574</v>
      </c>
      <c r="B1472" s="22" t="s">
        <v>56</v>
      </c>
      <c r="C1472" s="22" t="s">
        <v>124</v>
      </c>
      <c r="D1472" s="23">
        <v>1</v>
      </c>
      <c r="E1472" s="24">
        <f>SUM($D$2:D1472)/SUM($D$2:$D$2846)</f>
        <v>0.88326253186066273</v>
      </c>
      <c r="F1472" s="22" t="s">
        <v>46</v>
      </c>
      <c r="G1472" s="25" t="s">
        <v>125</v>
      </c>
    </row>
    <row r="1473" spans="1:7">
      <c r="A1473" s="21" t="s">
        <v>1575</v>
      </c>
      <c r="B1473" s="26" t="s">
        <v>163</v>
      </c>
      <c r="C1473" s="22" t="s">
        <v>45</v>
      </c>
      <c r="D1473" s="23">
        <v>1</v>
      </c>
      <c r="E1473" s="24">
        <f>SUM($D$2:D1473)/SUM($D$2:$D$2846)</f>
        <v>0.88334749362786746</v>
      </c>
      <c r="F1473" s="22" t="s">
        <v>46</v>
      </c>
      <c r="G1473" s="25" t="s">
        <v>164</v>
      </c>
    </row>
    <row r="1474" spans="1:7">
      <c r="A1474" s="21" t="s">
        <v>1576</v>
      </c>
      <c r="B1474" s="22" t="s">
        <v>56</v>
      </c>
      <c r="C1474" s="22" t="s">
        <v>124</v>
      </c>
      <c r="D1474" s="23">
        <v>1</v>
      </c>
      <c r="E1474" s="24">
        <f>SUM($D$2:D1474)/SUM($D$2:$D$2846)</f>
        <v>0.8834324553950722</v>
      </c>
      <c r="F1474" s="22" t="s">
        <v>46</v>
      </c>
      <c r="G1474" s="25" t="s">
        <v>125</v>
      </c>
    </row>
    <row r="1475" spans="1:7">
      <c r="A1475" s="21" t="s">
        <v>1577</v>
      </c>
      <c r="B1475" s="22" t="s">
        <v>56</v>
      </c>
      <c r="C1475" s="22" t="s">
        <v>124</v>
      </c>
      <c r="D1475" s="23">
        <v>1</v>
      </c>
      <c r="E1475" s="24">
        <f>SUM($D$2:D1475)/SUM($D$2:$D$2846)</f>
        <v>0.88351741716227694</v>
      </c>
      <c r="F1475" s="22" t="s">
        <v>46</v>
      </c>
      <c r="G1475" s="25" t="s">
        <v>125</v>
      </c>
    </row>
    <row r="1476" spans="1:7">
      <c r="A1476" s="21" t="s">
        <v>1578</v>
      </c>
      <c r="B1476" s="22" t="s">
        <v>56</v>
      </c>
      <c r="C1476" s="22" t="s">
        <v>124</v>
      </c>
      <c r="D1476" s="23">
        <v>1</v>
      </c>
      <c r="E1476" s="24">
        <f>SUM($D$2:D1476)/SUM($D$2:$D$2846)</f>
        <v>0.88360237892948168</v>
      </c>
      <c r="F1476" s="22" t="s">
        <v>46</v>
      </c>
      <c r="G1476" s="25" t="s">
        <v>125</v>
      </c>
    </row>
    <row r="1477" spans="1:7">
      <c r="A1477" s="21" t="s">
        <v>1579</v>
      </c>
      <c r="B1477" s="22" t="s">
        <v>56</v>
      </c>
      <c r="C1477" s="22" t="s">
        <v>124</v>
      </c>
      <c r="D1477" s="23">
        <v>1</v>
      </c>
      <c r="E1477" s="24">
        <f>SUM($D$2:D1477)/SUM($D$2:$D$2846)</f>
        <v>0.88368734069668653</v>
      </c>
      <c r="F1477" s="22" t="s">
        <v>46</v>
      </c>
      <c r="G1477" s="25" t="s">
        <v>125</v>
      </c>
    </row>
    <row r="1478" spans="1:7">
      <c r="A1478" s="21" t="s">
        <v>1580</v>
      </c>
      <c r="B1478" s="22" t="s">
        <v>56</v>
      </c>
      <c r="C1478" s="22" t="s">
        <v>124</v>
      </c>
      <c r="D1478" s="23">
        <v>1</v>
      </c>
      <c r="E1478" s="24">
        <f>SUM($D$2:D1478)/SUM($D$2:$D$2846)</f>
        <v>0.88377230246389127</v>
      </c>
      <c r="F1478" s="22" t="s">
        <v>46</v>
      </c>
      <c r="G1478" s="25" t="s">
        <v>125</v>
      </c>
    </row>
    <row r="1479" spans="1:7">
      <c r="A1479" s="21" t="s">
        <v>1581</v>
      </c>
      <c r="B1479" s="22" t="s">
        <v>56</v>
      </c>
      <c r="C1479" s="22" t="s">
        <v>124</v>
      </c>
      <c r="D1479" s="23">
        <v>1</v>
      </c>
      <c r="E1479" s="24">
        <f>SUM($D$2:D1479)/SUM($D$2:$D$2846)</f>
        <v>0.88385726423109601</v>
      </c>
      <c r="F1479" s="22" t="s">
        <v>46</v>
      </c>
      <c r="G1479" s="25" t="s">
        <v>125</v>
      </c>
    </row>
    <row r="1480" spans="1:7">
      <c r="A1480" s="21" t="s">
        <v>1582</v>
      </c>
      <c r="B1480" s="22" t="s">
        <v>56</v>
      </c>
      <c r="C1480" s="22" t="s">
        <v>124</v>
      </c>
      <c r="D1480" s="23">
        <v>1</v>
      </c>
      <c r="E1480" s="24">
        <f>SUM($D$2:D1480)/SUM($D$2:$D$2846)</f>
        <v>0.88394222599830075</v>
      </c>
      <c r="F1480" s="22" t="s">
        <v>46</v>
      </c>
      <c r="G1480" s="25" t="s">
        <v>125</v>
      </c>
    </row>
    <row r="1481" spans="1:7">
      <c r="A1481" s="21" t="s">
        <v>1583</v>
      </c>
      <c r="B1481" s="26" t="s">
        <v>163</v>
      </c>
      <c r="C1481" s="22" t="s">
        <v>45</v>
      </c>
      <c r="D1481" s="23">
        <v>1</v>
      </c>
      <c r="E1481" s="24">
        <f>SUM($D$2:D1481)/SUM($D$2:$D$2846)</f>
        <v>0.88402718776550548</v>
      </c>
      <c r="F1481" s="22" t="s">
        <v>46</v>
      </c>
      <c r="G1481" s="25" t="s">
        <v>164</v>
      </c>
    </row>
    <row r="1482" spans="1:7">
      <c r="A1482" s="21" t="s">
        <v>1584</v>
      </c>
      <c r="B1482" s="26" t="s">
        <v>163</v>
      </c>
      <c r="C1482" s="22" t="s">
        <v>45</v>
      </c>
      <c r="D1482" s="23">
        <v>1</v>
      </c>
      <c r="E1482" s="24">
        <f>SUM($D$2:D1482)/SUM($D$2:$D$2846)</f>
        <v>0.88411214953271033</v>
      </c>
      <c r="F1482" s="22" t="s">
        <v>46</v>
      </c>
      <c r="G1482" s="25" t="s">
        <v>164</v>
      </c>
    </row>
    <row r="1483" spans="1:7">
      <c r="A1483" s="21" t="s">
        <v>1585</v>
      </c>
      <c r="B1483" s="26" t="s">
        <v>163</v>
      </c>
      <c r="C1483" s="22" t="s">
        <v>45</v>
      </c>
      <c r="D1483" s="23">
        <v>1</v>
      </c>
      <c r="E1483" s="24">
        <f>SUM($D$2:D1483)/SUM($D$2:$D$2846)</f>
        <v>0.88419711129991507</v>
      </c>
      <c r="F1483" s="22" t="s">
        <v>46</v>
      </c>
      <c r="G1483" s="25" t="s">
        <v>164</v>
      </c>
    </row>
    <row r="1484" spans="1:7">
      <c r="A1484" s="21" t="s">
        <v>1586</v>
      </c>
      <c r="B1484" s="22" t="s">
        <v>56</v>
      </c>
      <c r="C1484" s="22" t="s">
        <v>124</v>
      </c>
      <c r="D1484" s="23">
        <v>1</v>
      </c>
      <c r="E1484" s="24">
        <f>SUM($D$2:D1484)/SUM($D$2:$D$2846)</f>
        <v>0.88428207306711981</v>
      </c>
      <c r="F1484" s="22" t="s">
        <v>46</v>
      </c>
      <c r="G1484" s="25" t="s">
        <v>125</v>
      </c>
    </row>
    <row r="1485" spans="1:7">
      <c r="A1485" s="21" t="s">
        <v>1587</v>
      </c>
      <c r="B1485" s="22" t="s">
        <v>56</v>
      </c>
      <c r="C1485" s="22" t="s">
        <v>124</v>
      </c>
      <c r="D1485" s="23">
        <v>1</v>
      </c>
      <c r="E1485" s="24">
        <f>SUM($D$2:D1485)/SUM($D$2:$D$2846)</f>
        <v>0.88436703483432455</v>
      </c>
      <c r="F1485" s="22" t="s">
        <v>46</v>
      </c>
      <c r="G1485" s="25" t="s">
        <v>125</v>
      </c>
    </row>
    <row r="1486" spans="1:7">
      <c r="A1486" s="21" t="s">
        <v>1588</v>
      </c>
      <c r="B1486" s="22" t="s">
        <v>56</v>
      </c>
      <c r="C1486" s="22" t="s">
        <v>124</v>
      </c>
      <c r="D1486" s="23">
        <v>1</v>
      </c>
      <c r="E1486" s="24">
        <f>SUM($D$2:D1486)/SUM($D$2:$D$2846)</f>
        <v>0.88445199660152929</v>
      </c>
      <c r="F1486" s="22" t="s">
        <v>46</v>
      </c>
      <c r="G1486" s="25" t="s">
        <v>125</v>
      </c>
    </row>
    <row r="1487" spans="1:7">
      <c r="A1487" s="21" t="s">
        <v>1589</v>
      </c>
      <c r="B1487" s="22" t="s">
        <v>56</v>
      </c>
      <c r="C1487" s="22" t="s">
        <v>124</v>
      </c>
      <c r="D1487" s="23">
        <v>1</v>
      </c>
      <c r="E1487" s="24">
        <f>SUM($D$2:D1487)/SUM($D$2:$D$2846)</f>
        <v>0.88453695836873403</v>
      </c>
      <c r="F1487" s="22" t="s">
        <v>46</v>
      </c>
      <c r="G1487" s="25" t="s">
        <v>125</v>
      </c>
    </row>
    <row r="1488" spans="1:7">
      <c r="A1488" s="21" t="s">
        <v>1590</v>
      </c>
      <c r="B1488" s="22" t="s">
        <v>56</v>
      </c>
      <c r="C1488" s="22" t="s">
        <v>124</v>
      </c>
      <c r="D1488" s="23">
        <v>1</v>
      </c>
      <c r="E1488" s="24">
        <f>SUM($D$2:D1488)/SUM($D$2:$D$2846)</f>
        <v>0.88462192013593888</v>
      </c>
      <c r="F1488" s="22" t="s">
        <v>46</v>
      </c>
      <c r="G1488" s="25" t="s">
        <v>125</v>
      </c>
    </row>
    <row r="1489" spans="1:7">
      <c r="A1489" s="21" t="s">
        <v>1591</v>
      </c>
      <c r="B1489" s="26" t="s">
        <v>163</v>
      </c>
      <c r="C1489" s="22" t="s">
        <v>45</v>
      </c>
      <c r="D1489" s="23">
        <v>1</v>
      </c>
      <c r="E1489" s="24">
        <f>SUM($D$2:D1489)/SUM($D$2:$D$2846)</f>
        <v>0.88470688190314362</v>
      </c>
      <c r="F1489" s="22" t="s">
        <v>46</v>
      </c>
      <c r="G1489" s="25" t="s">
        <v>164</v>
      </c>
    </row>
    <row r="1490" spans="1:7">
      <c r="A1490" s="21" t="s">
        <v>1592</v>
      </c>
      <c r="B1490" s="22" t="s">
        <v>56</v>
      </c>
      <c r="C1490" s="22" t="s">
        <v>124</v>
      </c>
      <c r="D1490" s="23">
        <v>1</v>
      </c>
      <c r="E1490" s="24">
        <f>SUM($D$2:D1490)/SUM($D$2:$D$2846)</f>
        <v>0.88479184367034835</v>
      </c>
      <c r="F1490" s="22" t="s">
        <v>46</v>
      </c>
      <c r="G1490" s="25" t="s">
        <v>125</v>
      </c>
    </row>
    <row r="1491" spans="1:7">
      <c r="A1491" s="21" t="s">
        <v>1593</v>
      </c>
      <c r="B1491" s="22" t="s">
        <v>56</v>
      </c>
      <c r="C1491" s="22" t="s">
        <v>124</v>
      </c>
      <c r="D1491" s="23">
        <v>1</v>
      </c>
      <c r="E1491" s="24">
        <f>SUM($D$2:D1491)/SUM($D$2:$D$2846)</f>
        <v>0.88487680543755309</v>
      </c>
      <c r="F1491" s="22" t="s">
        <v>46</v>
      </c>
      <c r="G1491" s="25" t="s">
        <v>125</v>
      </c>
    </row>
    <row r="1492" spans="1:7">
      <c r="A1492" s="21" t="s">
        <v>1594</v>
      </c>
      <c r="B1492" s="22" t="s">
        <v>56</v>
      </c>
      <c r="C1492" s="22" t="s">
        <v>124</v>
      </c>
      <c r="D1492" s="23">
        <v>1</v>
      </c>
      <c r="E1492" s="24">
        <f>SUM($D$2:D1492)/SUM($D$2:$D$2846)</f>
        <v>0.88496176720475783</v>
      </c>
      <c r="F1492" s="22" t="s">
        <v>46</v>
      </c>
      <c r="G1492" s="25" t="s">
        <v>125</v>
      </c>
    </row>
    <row r="1493" spans="1:7">
      <c r="A1493" s="21" t="s">
        <v>1595</v>
      </c>
      <c r="B1493" s="22" t="s">
        <v>56</v>
      </c>
      <c r="C1493" s="22" t="s">
        <v>124</v>
      </c>
      <c r="D1493" s="23">
        <v>1</v>
      </c>
      <c r="E1493" s="24">
        <f>SUM($D$2:D1493)/SUM($D$2:$D$2846)</f>
        <v>0.88504672897196257</v>
      </c>
      <c r="F1493" s="22" t="s">
        <v>46</v>
      </c>
      <c r="G1493" s="25" t="s">
        <v>125</v>
      </c>
    </row>
    <row r="1494" spans="1:7">
      <c r="A1494" s="21" t="s">
        <v>1596</v>
      </c>
      <c r="B1494" s="22" t="s">
        <v>56</v>
      </c>
      <c r="C1494" s="22" t="s">
        <v>124</v>
      </c>
      <c r="D1494" s="23">
        <v>1</v>
      </c>
      <c r="E1494" s="24">
        <f>SUM($D$2:D1494)/SUM($D$2:$D$2846)</f>
        <v>0.88513169073916742</v>
      </c>
      <c r="F1494" s="22" t="s">
        <v>46</v>
      </c>
      <c r="G1494" s="25" t="s">
        <v>125</v>
      </c>
    </row>
    <row r="1495" spans="1:7">
      <c r="A1495" s="21" t="s">
        <v>1597</v>
      </c>
      <c r="B1495" s="22" t="s">
        <v>56</v>
      </c>
      <c r="C1495" s="22" t="s">
        <v>124</v>
      </c>
      <c r="D1495" s="23">
        <v>1</v>
      </c>
      <c r="E1495" s="24">
        <f>SUM($D$2:D1495)/SUM($D$2:$D$2846)</f>
        <v>0.88521665250637216</v>
      </c>
      <c r="F1495" s="22" t="s">
        <v>46</v>
      </c>
      <c r="G1495" s="25" t="s">
        <v>125</v>
      </c>
    </row>
    <row r="1496" spans="1:7">
      <c r="A1496" s="21" t="s">
        <v>1598</v>
      </c>
      <c r="B1496" s="22" t="s">
        <v>56</v>
      </c>
      <c r="C1496" s="22" t="s">
        <v>124</v>
      </c>
      <c r="D1496" s="23">
        <v>1</v>
      </c>
      <c r="E1496" s="24">
        <f>SUM($D$2:D1496)/SUM($D$2:$D$2846)</f>
        <v>0.8853016142735769</v>
      </c>
      <c r="F1496" s="22" t="s">
        <v>46</v>
      </c>
      <c r="G1496" s="25" t="s">
        <v>125</v>
      </c>
    </row>
    <row r="1497" spans="1:7">
      <c r="A1497" s="21" t="s">
        <v>1599</v>
      </c>
      <c r="B1497" s="26" t="s">
        <v>163</v>
      </c>
      <c r="C1497" s="22" t="s">
        <v>45</v>
      </c>
      <c r="D1497" s="23">
        <v>1</v>
      </c>
      <c r="E1497" s="24">
        <f>SUM($D$2:D1497)/SUM($D$2:$D$2846)</f>
        <v>0.88538657604078164</v>
      </c>
      <c r="F1497" s="22" t="s">
        <v>46</v>
      </c>
      <c r="G1497" s="25" t="s">
        <v>164</v>
      </c>
    </row>
    <row r="1498" spans="1:7">
      <c r="A1498" s="21" t="s">
        <v>1600</v>
      </c>
      <c r="B1498" s="22" t="s">
        <v>56</v>
      </c>
      <c r="C1498" s="22" t="s">
        <v>124</v>
      </c>
      <c r="D1498" s="23">
        <v>1</v>
      </c>
      <c r="E1498" s="24">
        <f>SUM($D$2:D1498)/SUM($D$2:$D$2846)</f>
        <v>0.88547153780798638</v>
      </c>
      <c r="F1498" s="22" t="s">
        <v>46</v>
      </c>
      <c r="G1498" s="25" t="s">
        <v>125</v>
      </c>
    </row>
    <row r="1499" spans="1:7">
      <c r="A1499" s="21" t="s">
        <v>1601</v>
      </c>
      <c r="B1499" s="22" t="s">
        <v>56</v>
      </c>
      <c r="C1499" s="22" t="s">
        <v>124</v>
      </c>
      <c r="D1499" s="23">
        <v>1</v>
      </c>
      <c r="E1499" s="24">
        <f>SUM($D$2:D1499)/SUM($D$2:$D$2846)</f>
        <v>0.88555649957519111</v>
      </c>
      <c r="F1499" s="22" t="s">
        <v>46</v>
      </c>
      <c r="G1499" s="25" t="s">
        <v>125</v>
      </c>
    </row>
    <row r="1500" spans="1:7">
      <c r="A1500" s="21" t="s">
        <v>1602</v>
      </c>
      <c r="B1500" s="22" t="s">
        <v>56</v>
      </c>
      <c r="C1500" s="22" t="s">
        <v>124</v>
      </c>
      <c r="D1500" s="23">
        <v>1</v>
      </c>
      <c r="E1500" s="24">
        <f>SUM($D$2:D1500)/SUM($D$2:$D$2846)</f>
        <v>0.88564146134239596</v>
      </c>
      <c r="F1500" s="22" t="s">
        <v>46</v>
      </c>
      <c r="G1500" s="25" t="s">
        <v>125</v>
      </c>
    </row>
    <row r="1501" spans="1:7">
      <c r="A1501" s="21" t="s">
        <v>1603</v>
      </c>
      <c r="B1501" s="22" t="s">
        <v>56</v>
      </c>
      <c r="C1501" s="22" t="s">
        <v>124</v>
      </c>
      <c r="D1501" s="23">
        <v>1</v>
      </c>
      <c r="E1501" s="24">
        <f>SUM($D$2:D1501)/SUM($D$2:$D$2846)</f>
        <v>0.8857264231096007</v>
      </c>
      <c r="F1501" s="22" t="s">
        <v>46</v>
      </c>
      <c r="G1501" s="25" t="s">
        <v>125</v>
      </c>
    </row>
    <row r="1502" spans="1:7">
      <c r="A1502" s="21" t="s">
        <v>1604</v>
      </c>
      <c r="B1502" s="22" t="s">
        <v>56</v>
      </c>
      <c r="C1502" s="22" t="s">
        <v>124</v>
      </c>
      <c r="D1502" s="23">
        <v>1</v>
      </c>
      <c r="E1502" s="24">
        <f>SUM($D$2:D1502)/SUM($D$2:$D$2846)</f>
        <v>0.88581138487680544</v>
      </c>
      <c r="F1502" s="22" t="s">
        <v>46</v>
      </c>
      <c r="G1502" s="25" t="s">
        <v>125</v>
      </c>
    </row>
    <row r="1503" spans="1:7">
      <c r="A1503" s="21" t="s">
        <v>1605</v>
      </c>
      <c r="B1503" s="22" t="s">
        <v>56</v>
      </c>
      <c r="C1503" s="22" t="s">
        <v>124</v>
      </c>
      <c r="D1503" s="23">
        <v>1</v>
      </c>
      <c r="E1503" s="24">
        <f>SUM($D$2:D1503)/SUM($D$2:$D$2846)</f>
        <v>0.88589634664401018</v>
      </c>
      <c r="F1503" s="22" t="s">
        <v>46</v>
      </c>
      <c r="G1503" s="25" t="s">
        <v>125</v>
      </c>
    </row>
    <row r="1504" spans="1:7">
      <c r="A1504" s="21" t="s">
        <v>1606</v>
      </c>
      <c r="B1504" s="26" t="s">
        <v>163</v>
      </c>
      <c r="C1504" s="22" t="s">
        <v>45</v>
      </c>
      <c r="D1504" s="23">
        <v>1</v>
      </c>
      <c r="E1504" s="24">
        <f>SUM($D$2:D1504)/SUM($D$2:$D$2846)</f>
        <v>0.88598130841121492</v>
      </c>
      <c r="F1504" s="22" t="s">
        <v>46</v>
      </c>
      <c r="G1504" s="25" t="s">
        <v>164</v>
      </c>
    </row>
    <row r="1505" spans="1:7">
      <c r="A1505" s="21" t="s">
        <v>1607</v>
      </c>
      <c r="B1505" s="22" t="s">
        <v>56</v>
      </c>
      <c r="C1505" s="22" t="s">
        <v>124</v>
      </c>
      <c r="D1505" s="23">
        <v>1</v>
      </c>
      <c r="E1505" s="24">
        <f>SUM($D$2:D1505)/SUM($D$2:$D$2846)</f>
        <v>0.88606627017841966</v>
      </c>
      <c r="F1505" s="22" t="s">
        <v>46</v>
      </c>
      <c r="G1505" s="25" t="s">
        <v>125</v>
      </c>
    </row>
    <row r="1506" spans="1:7">
      <c r="A1506" s="21" t="s">
        <v>1608</v>
      </c>
      <c r="B1506" s="22" t="s">
        <v>56</v>
      </c>
      <c r="C1506" s="22" t="s">
        <v>124</v>
      </c>
      <c r="D1506" s="23">
        <v>1</v>
      </c>
      <c r="E1506" s="24">
        <f>SUM($D$2:D1506)/SUM($D$2:$D$2846)</f>
        <v>0.88615123194562451</v>
      </c>
      <c r="F1506" s="22" t="s">
        <v>46</v>
      </c>
      <c r="G1506" s="25" t="s">
        <v>125</v>
      </c>
    </row>
    <row r="1507" spans="1:7">
      <c r="A1507" s="21" t="s">
        <v>1609</v>
      </c>
      <c r="B1507" s="22" t="s">
        <v>56</v>
      </c>
      <c r="C1507" s="22" t="s">
        <v>124</v>
      </c>
      <c r="D1507" s="23">
        <v>1</v>
      </c>
      <c r="E1507" s="24">
        <f>SUM($D$2:D1507)/SUM($D$2:$D$2846)</f>
        <v>0.88623619371282925</v>
      </c>
      <c r="F1507" s="22" t="s">
        <v>46</v>
      </c>
      <c r="G1507" s="25" t="s">
        <v>125</v>
      </c>
    </row>
    <row r="1508" spans="1:7">
      <c r="A1508" s="21" t="s">
        <v>1610</v>
      </c>
      <c r="B1508" s="22" t="s">
        <v>56</v>
      </c>
      <c r="C1508" s="22" t="s">
        <v>124</v>
      </c>
      <c r="D1508" s="23">
        <v>1</v>
      </c>
      <c r="E1508" s="24">
        <f>SUM($D$2:D1508)/SUM($D$2:$D$2846)</f>
        <v>0.88632115548003398</v>
      </c>
      <c r="F1508" s="22" t="s">
        <v>46</v>
      </c>
      <c r="G1508" s="25" t="s">
        <v>125</v>
      </c>
    </row>
    <row r="1509" spans="1:7">
      <c r="A1509" s="21" t="s">
        <v>1611</v>
      </c>
      <c r="B1509" s="22" t="s">
        <v>56</v>
      </c>
      <c r="C1509" s="22" t="s">
        <v>124</v>
      </c>
      <c r="D1509" s="23">
        <v>1</v>
      </c>
      <c r="E1509" s="24">
        <f>SUM($D$2:D1509)/SUM($D$2:$D$2846)</f>
        <v>0.88640611724723872</v>
      </c>
      <c r="F1509" s="22" t="s">
        <v>46</v>
      </c>
      <c r="G1509" s="25" t="s">
        <v>125</v>
      </c>
    </row>
    <row r="1510" spans="1:7">
      <c r="A1510" s="21" t="s">
        <v>1612</v>
      </c>
      <c r="B1510" s="22" t="s">
        <v>56</v>
      </c>
      <c r="C1510" s="22" t="s">
        <v>124</v>
      </c>
      <c r="D1510" s="23">
        <v>1</v>
      </c>
      <c r="E1510" s="24">
        <f>SUM($D$2:D1510)/SUM($D$2:$D$2846)</f>
        <v>0.88649107901444346</v>
      </c>
      <c r="F1510" s="22" t="s">
        <v>46</v>
      </c>
      <c r="G1510" s="25" t="s">
        <v>125</v>
      </c>
    </row>
    <row r="1511" spans="1:7">
      <c r="A1511" s="21" t="s">
        <v>1613</v>
      </c>
      <c r="B1511" s="22" t="s">
        <v>56</v>
      </c>
      <c r="C1511" s="22" t="s">
        <v>124</v>
      </c>
      <c r="D1511" s="23">
        <v>1</v>
      </c>
      <c r="E1511" s="24">
        <f>SUM($D$2:D1511)/SUM($D$2:$D$2846)</f>
        <v>0.88657604078164831</v>
      </c>
      <c r="F1511" s="22" t="s">
        <v>46</v>
      </c>
      <c r="G1511" s="25" t="s">
        <v>125</v>
      </c>
    </row>
    <row r="1512" spans="1:7">
      <c r="A1512" s="21" t="s">
        <v>1614</v>
      </c>
      <c r="B1512" s="26" t="s">
        <v>163</v>
      </c>
      <c r="C1512" s="22" t="s">
        <v>45</v>
      </c>
      <c r="D1512" s="23">
        <v>1</v>
      </c>
      <c r="E1512" s="24">
        <f>SUM($D$2:D1512)/SUM($D$2:$D$2846)</f>
        <v>0.88666100254885305</v>
      </c>
      <c r="F1512" s="22" t="s">
        <v>46</v>
      </c>
      <c r="G1512" s="25" t="s">
        <v>164</v>
      </c>
    </row>
    <row r="1513" spans="1:7">
      <c r="A1513" s="21" t="s">
        <v>1615</v>
      </c>
      <c r="B1513" s="26" t="s">
        <v>163</v>
      </c>
      <c r="C1513" s="22" t="s">
        <v>45</v>
      </c>
      <c r="D1513" s="23">
        <v>1</v>
      </c>
      <c r="E1513" s="24">
        <f>SUM($D$2:D1513)/SUM($D$2:$D$2846)</f>
        <v>0.88674596431605779</v>
      </c>
      <c r="F1513" s="22" t="s">
        <v>46</v>
      </c>
      <c r="G1513" s="25" t="s">
        <v>164</v>
      </c>
    </row>
    <row r="1514" spans="1:7">
      <c r="A1514" s="21" t="s">
        <v>1616</v>
      </c>
      <c r="B1514" s="26" t="s">
        <v>163</v>
      </c>
      <c r="C1514" s="22" t="s">
        <v>45</v>
      </c>
      <c r="D1514" s="23">
        <v>1</v>
      </c>
      <c r="E1514" s="24">
        <f>SUM($D$2:D1514)/SUM($D$2:$D$2846)</f>
        <v>0.88683092608326253</v>
      </c>
      <c r="F1514" s="22" t="s">
        <v>46</v>
      </c>
      <c r="G1514" s="25" t="s">
        <v>164</v>
      </c>
    </row>
    <row r="1515" spans="1:7">
      <c r="A1515" s="21" t="s">
        <v>1617</v>
      </c>
      <c r="B1515" s="22" t="s">
        <v>56</v>
      </c>
      <c r="C1515" s="22" t="s">
        <v>124</v>
      </c>
      <c r="D1515" s="23">
        <v>1</v>
      </c>
      <c r="E1515" s="24">
        <f>SUM($D$2:D1515)/SUM($D$2:$D$2846)</f>
        <v>0.88691588785046727</v>
      </c>
      <c r="F1515" s="22" t="s">
        <v>46</v>
      </c>
      <c r="G1515" s="25" t="s">
        <v>125</v>
      </c>
    </row>
    <row r="1516" spans="1:7">
      <c r="A1516" s="21" t="s">
        <v>1618</v>
      </c>
      <c r="B1516" s="22" t="s">
        <v>56</v>
      </c>
      <c r="C1516" s="22" t="s">
        <v>124</v>
      </c>
      <c r="D1516" s="23">
        <v>1</v>
      </c>
      <c r="E1516" s="24">
        <f>SUM($D$2:D1516)/SUM($D$2:$D$2846)</f>
        <v>0.887000849617672</v>
      </c>
      <c r="F1516" s="22" t="s">
        <v>46</v>
      </c>
      <c r="G1516" s="25" t="s">
        <v>125</v>
      </c>
    </row>
    <row r="1517" spans="1:7">
      <c r="A1517" s="21" t="s">
        <v>1619</v>
      </c>
      <c r="B1517" s="22" t="s">
        <v>56</v>
      </c>
      <c r="C1517" s="22" t="s">
        <v>124</v>
      </c>
      <c r="D1517" s="23">
        <v>1</v>
      </c>
      <c r="E1517" s="24">
        <f>SUM($D$2:D1517)/SUM($D$2:$D$2846)</f>
        <v>0.88708581138487685</v>
      </c>
      <c r="F1517" s="22" t="s">
        <v>46</v>
      </c>
      <c r="G1517" s="25" t="s">
        <v>125</v>
      </c>
    </row>
    <row r="1518" spans="1:7">
      <c r="A1518" s="21" t="s">
        <v>1620</v>
      </c>
      <c r="B1518" s="22" t="s">
        <v>56</v>
      </c>
      <c r="C1518" s="22" t="s">
        <v>124</v>
      </c>
      <c r="D1518" s="23">
        <v>1</v>
      </c>
      <c r="E1518" s="24">
        <f>SUM($D$2:D1518)/SUM($D$2:$D$2846)</f>
        <v>0.88717077315208159</v>
      </c>
      <c r="F1518" s="22" t="s">
        <v>46</v>
      </c>
      <c r="G1518" s="25" t="s">
        <v>125</v>
      </c>
    </row>
    <row r="1519" spans="1:7">
      <c r="A1519" s="21" t="s">
        <v>1621</v>
      </c>
      <c r="B1519" s="22" t="s">
        <v>56</v>
      </c>
      <c r="C1519" s="22" t="s">
        <v>124</v>
      </c>
      <c r="D1519" s="23">
        <v>1</v>
      </c>
      <c r="E1519" s="24">
        <f>SUM($D$2:D1519)/SUM($D$2:$D$2846)</f>
        <v>0.88725573491928633</v>
      </c>
      <c r="F1519" s="22" t="s">
        <v>46</v>
      </c>
      <c r="G1519" s="25" t="s">
        <v>125</v>
      </c>
    </row>
    <row r="1520" spans="1:7">
      <c r="A1520" s="21" t="s">
        <v>1622</v>
      </c>
      <c r="B1520" s="22" t="s">
        <v>56</v>
      </c>
      <c r="C1520" s="22" t="s">
        <v>124</v>
      </c>
      <c r="D1520" s="23">
        <v>1</v>
      </c>
      <c r="E1520" s="24">
        <f>SUM($D$2:D1520)/SUM($D$2:$D$2846)</f>
        <v>0.88734069668649107</v>
      </c>
      <c r="F1520" s="22" t="s">
        <v>46</v>
      </c>
      <c r="G1520" s="25" t="s">
        <v>125</v>
      </c>
    </row>
    <row r="1521" spans="1:7">
      <c r="A1521" s="21" t="s">
        <v>1623</v>
      </c>
      <c r="B1521" s="22" t="s">
        <v>56</v>
      </c>
      <c r="C1521" s="22" t="s">
        <v>124</v>
      </c>
      <c r="D1521" s="23">
        <v>1</v>
      </c>
      <c r="E1521" s="24">
        <f>SUM($D$2:D1521)/SUM($D$2:$D$2846)</f>
        <v>0.88742565845369581</v>
      </c>
      <c r="F1521" s="22" t="s">
        <v>46</v>
      </c>
      <c r="G1521" s="25" t="s">
        <v>125</v>
      </c>
    </row>
    <row r="1522" spans="1:7">
      <c r="A1522" s="21" t="s">
        <v>1624</v>
      </c>
      <c r="B1522" s="22" t="s">
        <v>129</v>
      </c>
      <c r="C1522" s="22" t="s">
        <v>124</v>
      </c>
      <c r="D1522" s="23">
        <v>1</v>
      </c>
      <c r="E1522" s="24">
        <f>SUM($D$2:D1522)/SUM($D$2:$D$2846)</f>
        <v>0.88751062022090055</v>
      </c>
      <c r="F1522" s="22" t="s">
        <v>46</v>
      </c>
      <c r="G1522" s="25" t="s">
        <v>130</v>
      </c>
    </row>
    <row r="1523" spans="1:7">
      <c r="A1523" s="21" t="s">
        <v>1625</v>
      </c>
      <c r="B1523" s="22" t="s">
        <v>129</v>
      </c>
      <c r="C1523" s="22" t="s">
        <v>124</v>
      </c>
      <c r="D1523" s="23">
        <v>1</v>
      </c>
      <c r="E1523" s="24">
        <f>SUM($D$2:D1523)/SUM($D$2:$D$2846)</f>
        <v>0.8875955819881054</v>
      </c>
      <c r="F1523" s="22" t="s">
        <v>46</v>
      </c>
      <c r="G1523" s="25" t="s">
        <v>130</v>
      </c>
    </row>
    <row r="1524" spans="1:7">
      <c r="A1524" s="21" t="s">
        <v>1626</v>
      </c>
      <c r="B1524" s="22" t="s">
        <v>129</v>
      </c>
      <c r="C1524" s="22" t="s">
        <v>124</v>
      </c>
      <c r="D1524" s="23">
        <v>1</v>
      </c>
      <c r="E1524" s="24">
        <f>SUM($D$2:D1524)/SUM($D$2:$D$2846)</f>
        <v>0.88768054375531014</v>
      </c>
      <c r="F1524" s="22" t="s">
        <v>46</v>
      </c>
      <c r="G1524" s="25" t="s">
        <v>130</v>
      </c>
    </row>
    <row r="1525" spans="1:7">
      <c r="A1525" s="21" t="s">
        <v>1627</v>
      </c>
      <c r="B1525" s="22" t="s">
        <v>129</v>
      </c>
      <c r="C1525" s="22" t="s">
        <v>124</v>
      </c>
      <c r="D1525" s="23">
        <v>1</v>
      </c>
      <c r="E1525" s="24">
        <f>SUM($D$2:D1525)/SUM($D$2:$D$2846)</f>
        <v>0.88776550552251488</v>
      </c>
      <c r="F1525" s="22" t="s">
        <v>46</v>
      </c>
      <c r="G1525" s="25" t="s">
        <v>130</v>
      </c>
    </row>
    <row r="1526" spans="1:7">
      <c r="A1526" s="21" t="s">
        <v>1628</v>
      </c>
      <c r="B1526" s="22" t="s">
        <v>56</v>
      </c>
      <c r="C1526" s="22" t="s">
        <v>124</v>
      </c>
      <c r="D1526" s="23">
        <v>1</v>
      </c>
      <c r="E1526" s="24">
        <f>SUM($D$2:D1526)/SUM($D$2:$D$2846)</f>
        <v>0.88785046728971961</v>
      </c>
      <c r="F1526" s="22" t="s">
        <v>46</v>
      </c>
      <c r="G1526" s="25" t="s">
        <v>125</v>
      </c>
    </row>
    <row r="1527" spans="1:7">
      <c r="A1527" s="21" t="s">
        <v>1629</v>
      </c>
      <c r="B1527" s="22" t="s">
        <v>56</v>
      </c>
      <c r="C1527" s="22" t="s">
        <v>124</v>
      </c>
      <c r="D1527" s="23">
        <v>1</v>
      </c>
      <c r="E1527" s="24">
        <f>SUM($D$2:D1527)/SUM($D$2:$D$2846)</f>
        <v>0.88793542905692435</v>
      </c>
      <c r="F1527" s="22" t="s">
        <v>46</v>
      </c>
      <c r="G1527" s="25" t="s">
        <v>125</v>
      </c>
    </row>
    <row r="1528" spans="1:7">
      <c r="A1528" s="21" t="s">
        <v>1630</v>
      </c>
      <c r="B1528" s="22" t="s">
        <v>56</v>
      </c>
      <c r="C1528" s="22" t="s">
        <v>124</v>
      </c>
      <c r="D1528" s="23">
        <v>1</v>
      </c>
      <c r="E1528" s="24">
        <f>SUM($D$2:D1528)/SUM($D$2:$D$2846)</f>
        <v>0.88802039082412909</v>
      </c>
      <c r="F1528" s="22" t="s">
        <v>46</v>
      </c>
      <c r="G1528" s="25" t="s">
        <v>125</v>
      </c>
    </row>
    <row r="1529" spans="1:7">
      <c r="A1529" s="21" t="s">
        <v>1631</v>
      </c>
      <c r="B1529" s="22" t="s">
        <v>56</v>
      </c>
      <c r="C1529" s="22" t="s">
        <v>124</v>
      </c>
      <c r="D1529" s="23">
        <v>1</v>
      </c>
      <c r="E1529" s="24">
        <f>SUM($D$2:D1529)/SUM($D$2:$D$2846)</f>
        <v>0.88810535259133394</v>
      </c>
      <c r="F1529" s="22" t="s">
        <v>46</v>
      </c>
      <c r="G1529" s="25" t="s">
        <v>125</v>
      </c>
    </row>
    <row r="1530" spans="1:7">
      <c r="A1530" s="21" t="s">
        <v>1632</v>
      </c>
      <c r="B1530" s="22" t="s">
        <v>56</v>
      </c>
      <c r="C1530" s="22" t="s">
        <v>124</v>
      </c>
      <c r="D1530" s="23">
        <v>1</v>
      </c>
      <c r="E1530" s="24">
        <f>SUM($D$2:D1530)/SUM($D$2:$D$2846)</f>
        <v>0.88819031435853868</v>
      </c>
      <c r="F1530" s="22" t="s">
        <v>46</v>
      </c>
      <c r="G1530" s="25" t="s">
        <v>125</v>
      </c>
    </row>
    <row r="1531" spans="1:7">
      <c r="A1531" s="21" t="s">
        <v>1633</v>
      </c>
      <c r="B1531" s="22" t="s">
        <v>56</v>
      </c>
      <c r="C1531" s="22" t="s">
        <v>124</v>
      </c>
      <c r="D1531" s="23">
        <v>1</v>
      </c>
      <c r="E1531" s="24">
        <f>SUM($D$2:D1531)/SUM($D$2:$D$2846)</f>
        <v>0.88827527612574342</v>
      </c>
      <c r="F1531" s="22" t="s">
        <v>46</v>
      </c>
      <c r="G1531" s="25" t="s">
        <v>125</v>
      </c>
    </row>
    <row r="1532" spans="1:7">
      <c r="A1532" s="21" t="s">
        <v>1634</v>
      </c>
      <c r="B1532" s="26" t="s">
        <v>163</v>
      </c>
      <c r="C1532" s="22" t="s">
        <v>45</v>
      </c>
      <c r="D1532" s="23">
        <v>1</v>
      </c>
      <c r="E1532" s="24">
        <f>SUM($D$2:D1532)/SUM($D$2:$D$2846)</f>
        <v>0.88836023789294816</v>
      </c>
      <c r="F1532" s="22" t="s">
        <v>46</v>
      </c>
      <c r="G1532" s="25" t="s">
        <v>164</v>
      </c>
    </row>
    <row r="1533" spans="1:7">
      <c r="A1533" s="21" t="s">
        <v>1635</v>
      </c>
      <c r="B1533" s="22" t="s">
        <v>56</v>
      </c>
      <c r="C1533" s="22" t="s">
        <v>124</v>
      </c>
      <c r="D1533" s="23">
        <v>1</v>
      </c>
      <c r="E1533" s="24">
        <f>SUM($D$2:D1533)/SUM($D$2:$D$2846)</f>
        <v>0.8884451996601529</v>
      </c>
      <c r="F1533" s="22" t="s">
        <v>46</v>
      </c>
      <c r="G1533" s="25" t="s">
        <v>125</v>
      </c>
    </row>
    <row r="1534" spans="1:7">
      <c r="A1534" s="21" t="s">
        <v>1636</v>
      </c>
      <c r="B1534" s="22" t="s">
        <v>56</v>
      </c>
      <c r="C1534" s="22" t="s">
        <v>124</v>
      </c>
      <c r="D1534" s="23">
        <v>1</v>
      </c>
      <c r="E1534" s="24">
        <f>SUM($D$2:D1534)/SUM($D$2:$D$2846)</f>
        <v>0.88853016142735763</v>
      </c>
      <c r="F1534" s="22" t="s">
        <v>46</v>
      </c>
      <c r="G1534" s="25" t="s">
        <v>125</v>
      </c>
    </row>
    <row r="1535" spans="1:7">
      <c r="A1535" s="21" t="s">
        <v>1637</v>
      </c>
      <c r="B1535" s="22" t="s">
        <v>56</v>
      </c>
      <c r="C1535" s="22" t="s">
        <v>124</v>
      </c>
      <c r="D1535" s="23">
        <v>1</v>
      </c>
      <c r="E1535" s="24">
        <f>SUM($D$2:D1535)/SUM($D$2:$D$2846)</f>
        <v>0.88861512319456248</v>
      </c>
      <c r="F1535" s="22" t="s">
        <v>46</v>
      </c>
      <c r="G1535" s="25" t="s">
        <v>125</v>
      </c>
    </row>
    <row r="1536" spans="1:7">
      <c r="A1536" s="21" t="s">
        <v>1638</v>
      </c>
      <c r="B1536" s="22" t="s">
        <v>56</v>
      </c>
      <c r="C1536" s="22" t="s">
        <v>124</v>
      </c>
      <c r="D1536" s="23">
        <v>1</v>
      </c>
      <c r="E1536" s="24">
        <f>SUM($D$2:D1536)/SUM($D$2:$D$2846)</f>
        <v>0.88870008496176722</v>
      </c>
      <c r="F1536" s="22" t="s">
        <v>46</v>
      </c>
      <c r="G1536" s="25" t="s">
        <v>125</v>
      </c>
    </row>
    <row r="1537" spans="1:7">
      <c r="A1537" s="21" t="s">
        <v>1639</v>
      </c>
      <c r="B1537" s="22" t="s">
        <v>56</v>
      </c>
      <c r="C1537" s="22" t="s">
        <v>124</v>
      </c>
      <c r="D1537" s="23">
        <v>1</v>
      </c>
      <c r="E1537" s="24">
        <f>SUM($D$2:D1537)/SUM($D$2:$D$2846)</f>
        <v>0.88878504672897196</v>
      </c>
      <c r="F1537" s="22" t="s">
        <v>46</v>
      </c>
      <c r="G1537" s="25" t="s">
        <v>125</v>
      </c>
    </row>
    <row r="1538" spans="1:7">
      <c r="A1538" s="21" t="s">
        <v>1640</v>
      </c>
      <c r="B1538" s="26" t="s">
        <v>163</v>
      </c>
      <c r="C1538" s="22" t="s">
        <v>45</v>
      </c>
      <c r="D1538" s="23">
        <v>1</v>
      </c>
      <c r="E1538" s="24">
        <f>SUM($D$2:D1538)/SUM($D$2:$D$2846)</f>
        <v>0.8888700084961767</v>
      </c>
      <c r="F1538" s="22" t="s">
        <v>46</v>
      </c>
      <c r="G1538" s="25" t="s">
        <v>164</v>
      </c>
    </row>
    <row r="1539" spans="1:7">
      <c r="A1539" s="21" t="s">
        <v>1641</v>
      </c>
      <c r="B1539" s="26" t="s">
        <v>163</v>
      </c>
      <c r="C1539" s="22" t="s">
        <v>45</v>
      </c>
      <c r="D1539" s="23">
        <v>1</v>
      </c>
      <c r="E1539" s="24">
        <f>SUM($D$2:D1539)/SUM($D$2:$D$2846)</f>
        <v>0.88895497026338144</v>
      </c>
      <c r="F1539" s="22" t="s">
        <v>46</v>
      </c>
      <c r="G1539" s="25" t="s">
        <v>164</v>
      </c>
    </row>
    <row r="1540" spans="1:7">
      <c r="A1540" s="21" t="s">
        <v>1642</v>
      </c>
      <c r="B1540" s="26" t="s">
        <v>163</v>
      </c>
      <c r="C1540" s="22" t="s">
        <v>45</v>
      </c>
      <c r="D1540" s="23">
        <v>1</v>
      </c>
      <c r="E1540" s="24">
        <f>SUM($D$2:D1540)/SUM($D$2:$D$2846)</f>
        <v>0.88903993203058629</v>
      </c>
      <c r="F1540" s="22" t="s">
        <v>46</v>
      </c>
      <c r="G1540" s="25" t="s">
        <v>164</v>
      </c>
    </row>
    <row r="1541" spans="1:7">
      <c r="A1541" s="21" t="s">
        <v>1643</v>
      </c>
      <c r="B1541" s="26" t="s">
        <v>163</v>
      </c>
      <c r="C1541" s="22" t="s">
        <v>45</v>
      </c>
      <c r="D1541" s="23">
        <v>1</v>
      </c>
      <c r="E1541" s="24">
        <f>SUM($D$2:D1541)/SUM($D$2:$D$2846)</f>
        <v>0.88912489379779103</v>
      </c>
      <c r="F1541" s="22" t="s">
        <v>46</v>
      </c>
      <c r="G1541" s="25" t="s">
        <v>164</v>
      </c>
    </row>
    <row r="1542" spans="1:7">
      <c r="A1542" s="21" t="s">
        <v>1644</v>
      </c>
      <c r="B1542" s="22" t="s">
        <v>56</v>
      </c>
      <c r="C1542" s="22" t="s">
        <v>124</v>
      </c>
      <c r="D1542" s="23">
        <v>1</v>
      </c>
      <c r="E1542" s="24">
        <f>SUM($D$2:D1542)/SUM($D$2:$D$2846)</f>
        <v>0.88920985556499577</v>
      </c>
      <c r="F1542" s="22" t="s">
        <v>46</v>
      </c>
      <c r="G1542" s="25" t="s">
        <v>125</v>
      </c>
    </row>
    <row r="1543" spans="1:7">
      <c r="A1543" s="21" t="s">
        <v>1645</v>
      </c>
      <c r="B1543" s="22" t="s">
        <v>56</v>
      </c>
      <c r="C1543" s="22" t="s">
        <v>124</v>
      </c>
      <c r="D1543" s="23">
        <v>1</v>
      </c>
      <c r="E1543" s="24">
        <f>SUM($D$2:D1543)/SUM($D$2:$D$2846)</f>
        <v>0.8892948173322005</v>
      </c>
      <c r="F1543" s="22" t="s">
        <v>46</v>
      </c>
      <c r="G1543" s="25" t="s">
        <v>125</v>
      </c>
    </row>
    <row r="1544" spans="1:7">
      <c r="A1544" s="21" t="s">
        <v>1646</v>
      </c>
      <c r="B1544" s="22" t="s">
        <v>56</v>
      </c>
      <c r="C1544" s="22" t="s">
        <v>124</v>
      </c>
      <c r="D1544" s="23">
        <v>1</v>
      </c>
      <c r="E1544" s="24">
        <f>SUM($D$2:D1544)/SUM($D$2:$D$2846)</f>
        <v>0.88937977909940524</v>
      </c>
      <c r="F1544" s="22" t="s">
        <v>46</v>
      </c>
      <c r="G1544" s="25" t="s">
        <v>125</v>
      </c>
    </row>
    <row r="1545" spans="1:7">
      <c r="A1545" s="21" t="s">
        <v>1647</v>
      </c>
      <c r="B1545" s="22" t="s">
        <v>56</v>
      </c>
      <c r="C1545" s="22" t="s">
        <v>124</v>
      </c>
      <c r="D1545" s="23">
        <v>1</v>
      </c>
      <c r="E1545" s="24">
        <f>SUM($D$2:D1545)/SUM($D$2:$D$2846)</f>
        <v>0.88946474086660998</v>
      </c>
      <c r="F1545" s="22" t="s">
        <v>46</v>
      </c>
      <c r="G1545" s="25" t="s">
        <v>125</v>
      </c>
    </row>
    <row r="1546" spans="1:7">
      <c r="A1546" s="21" t="s">
        <v>1648</v>
      </c>
      <c r="B1546" s="26" t="s">
        <v>163</v>
      </c>
      <c r="C1546" s="22" t="s">
        <v>45</v>
      </c>
      <c r="D1546" s="23">
        <v>1</v>
      </c>
      <c r="E1546" s="24">
        <f>SUM($D$2:D1546)/SUM($D$2:$D$2846)</f>
        <v>0.88954970263381483</v>
      </c>
      <c r="F1546" s="22" t="s">
        <v>46</v>
      </c>
      <c r="G1546" s="25" t="s">
        <v>164</v>
      </c>
    </row>
    <row r="1547" spans="1:7">
      <c r="A1547" s="21" t="s">
        <v>1649</v>
      </c>
      <c r="B1547" s="26" t="s">
        <v>163</v>
      </c>
      <c r="C1547" s="22" t="s">
        <v>45</v>
      </c>
      <c r="D1547" s="23">
        <v>1</v>
      </c>
      <c r="E1547" s="24">
        <f>SUM($D$2:D1547)/SUM($D$2:$D$2846)</f>
        <v>0.88963466440101957</v>
      </c>
      <c r="F1547" s="22" t="s">
        <v>46</v>
      </c>
      <c r="G1547" s="25" t="s">
        <v>164</v>
      </c>
    </row>
    <row r="1548" spans="1:7">
      <c r="A1548" s="21" t="s">
        <v>1650</v>
      </c>
      <c r="B1548" s="22" t="s">
        <v>56</v>
      </c>
      <c r="C1548" s="22" t="s">
        <v>124</v>
      </c>
      <c r="D1548" s="23">
        <v>1</v>
      </c>
      <c r="E1548" s="24">
        <f>SUM($D$2:D1548)/SUM($D$2:$D$2846)</f>
        <v>0.88971962616822431</v>
      </c>
      <c r="F1548" s="22" t="s">
        <v>46</v>
      </c>
      <c r="G1548" s="25" t="s">
        <v>125</v>
      </c>
    </row>
    <row r="1549" spans="1:7">
      <c r="A1549" s="21" t="s">
        <v>1651</v>
      </c>
      <c r="B1549" s="22" t="s">
        <v>56</v>
      </c>
      <c r="C1549" s="22" t="s">
        <v>124</v>
      </c>
      <c r="D1549" s="23">
        <v>1</v>
      </c>
      <c r="E1549" s="24">
        <f>SUM($D$2:D1549)/SUM($D$2:$D$2846)</f>
        <v>0.88980458793542905</v>
      </c>
      <c r="F1549" s="22" t="s">
        <v>46</v>
      </c>
      <c r="G1549" s="25" t="s">
        <v>125</v>
      </c>
    </row>
    <row r="1550" spans="1:7">
      <c r="A1550" s="21" t="s">
        <v>1652</v>
      </c>
      <c r="B1550" s="22" t="s">
        <v>56</v>
      </c>
      <c r="C1550" s="22" t="s">
        <v>124</v>
      </c>
      <c r="D1550" s="23">
        <v>1</v>
      </c>
      <c r="E1550" s="24">
        <f>SUM($D$2:D1550)/SUM($D$2:$D$2846)</f>
        <v>0.88988954970263379</v>
      </c>
      <c r="F1550" s="22" t="s">
        <v>46</v>
      </c>
      <c r="G1550" s="25" t="s">
        <v>125</v>
      </c>
    </row>
    <row r="1551" spans="1:7">
      <c r="A1551" s="21" t="s">
        <v>1653</v>
      </c>
      <c r="B1551" s="22" t="s">
        <v>129</v>
      </c>
      <c r="C1551" s="22" t="s">
        <v>124</v>
      </c>
      <c r="D1551" s="23">
        <v>1</v>
      </c>
      <c r="E1551" s="24">
        <f>SUM($D$2:D1551)/SUM($D$2:$D$2846)</f>
        <v>0.88997451146983853</v>
      </c>
      <c r="F1551" s="22" t="s">
        <v>46</v>
      </c>
      <c r="G1551" s="25" t="s">
        <v>130</v>
      </c>
    </row>
    <row r="1552" spans="1:7">
      <c r="A1552" s="21" t="s">
        <v>1654</v>
      </c>
      <c r="B1552" s="22" t="s">
        <v>56</v>
      </c>
      <c r="C1552" s="22" t="s">
        <v>124</v>
      </c>
      <c r="D1552" s="23">
        <v>1</v>
      </c>
      <c r="E1552" s="24">
        <f>SUM($D$2:D1552)/SUM($D$2:$D$2846)</f>
        <v>0.89005947323704337</v>
      </c>
      <c r="F1552" s="22" t="s">
        <v>46</v>
      </c>
      <c r="G1552" s="25" t="s">
        <v>125</v>
      </c>
    </row>
    <row r="1553" spans="1:7">
      <c r="A1553" s="21" t="s">
        <v>1655</v>
      </c>
      <c r="B1553" s="22" t="s">
        <v>56</v>
      </c>
      <c r="C1553" s="22" t="s">
        <v>124</v>
      </c>
      <c r="D1553" s="23">
        <v>1</v>
      </c>
      <c r="E1553" s="24">
        <f>SUM($D$2:D1553)/SUM($D$2:$D$2846)</f>
        <v>0.89014443500424811</v>
      </c>
      <c r="F1553" s="22" t="s">
        <v>46</v>
      </c>
      <c r="G1553" s="25" t="s">
        <v>125</v>
      </c>
    </row>
    <row r="1554" spans="1:7">
      <c r="A1554" s="21" t="s">
        <v>1656</v>
      </c>
      <c r="B1554" s="22" t="s">
        <v>56</v>
      </c>
      <c r="C1554" s="22" t="s">
        <v>124</v>
      </c>
      <c r="D1554" s="23">
        <v>1</v>
      </c>
      <c r="E1554" s="24">
        <f>SUM($D$2:D1554)/SUM($D$2:$D$2846)</f>
        <v>0.89022939677145285</v>
      </c>
      <c r="F1554" s="22" t="s">
        <v>46</v>
      </c>
      <c r="G1554" s="25" t="s">
        <v>125</v>
      </c>
    </row>
    <row r="1555" spans="1:7">
      <c r="A1555" s="21" t="s">
        <v>1657</v>
      </c>
      <c r="B1555" s="22" t="s">
        <v>56</v>
      </c>
      <c r="C1555" s="22" t="s">
        <v>124</v>
      </c>
      <c r="D1555" s="23">
        <v>1</v>
      </c>
      <c r="E1555" s="24">
        <f>SUM($D$2:D1555)/SUM($D$2:$D$2846)</f>
        <v>0.89031435853865759</v>
      </c>
      <c r="F1555" s="22" t="s">
        <v>46</v>
      </c>
      <c r="G1555" s="25" t="s">
        <v>125</v>
      </c>
    </row>
    <row r="1556" spans="1:7">
      <c r="A1556" s="21" t="s">
        <v>1658</v>
      </c>
      <c r="B1556" s="22" t="s">
        <v>56</v>
      </c>
      <c r="C1556" s="22" t="s">
        <v>124</v>
      </c>
      <c r="D1556" s="23">
        <v>1</v>
      </c>
      <c r="E1556" s="24">
        <f>SUM($D$2:D1556)/SUM($D$2:$D$2846)</f>
        <v>0.89039932030586233</v>
      </c>
      <c r="F1556" s="22" t="s">
        <v>46</v>
      </c>
      <c r="G1556" s="25" t="s">
        <v>125</v>
      </c>
    </row>
    <row r="1557" spans="1:7">
      <c r="A1557" s="21" t="s">
        <v>1659</v>
      </c>
      <c r="B1557" s="26" t="s">
        <v>163</v>
      </c>
      <c r="C1557" s="22" t="s">
        <v>45</v>
      </c>
      <c r="D1557" s="23">
        <v>1</v>
      </c>
      <c r="E1557" s="24">
        <f>SUM($D$2:D1557)/SUM($D$2:$D$2846)</f>
        <v>0.89048428207306707</v>
      </c>
      <c r="F1557" s="22" t="s">
        <v>46</v>
      </c>
      <c r="G1557" s="25" t="s">
        <v>164</v>
      </c>
    </row>
    <row r="1558" spans="1:7">
      <c r="A1558" s="21" t="s">
        <v>1660</v>
      </c>
      <c r="B1558" s="22" t="s">
        <v>56</v>
      </c>
      <c r="C1558" s="22" t="s">
        <v>124</v>
      </c>
      <c r="D1558" s="23">
        <v>1</v>
      </c>
      <c r="E1558" s="24">
        <f>SUM($D$2:D1558)/SUM($D$2:$D$2846)</f>
        <v>0.89056924384027192</v>
      </c>
      <c r="F1558" s="22" t="s">
        <v>46</v>
      </c>
      <c r="G1558" s="25" t="s">
        <v>125</v>
      </c>
    </row>
    <row r="1559" spans="1:7">
      <c r="A1559" s="21" t="s">
        <v>1661</v>
      </c>
      <c r="B1559" s="22" t="s">
        <v>56</v>
      </c>
      <c r="C1559" s="22" t="s">
        <v>124</v>
      </c>
      <c r="D1559" s="23">
        <v>1</v>
      </c>
      <c r="E1559" s="24">
        <f>SUM($D$2:D1559)/SUM($D$2:$D$2846)</f>
        <v>0.89065420560747666</v>
      </c>
      <c r="F1559" s="22" t="s">
        <v>46</v>
      </c>
      <c r="G1559" s="25" t="s">
        <v>125</v>
      </c>
    </row>
    <row r="1560" spans="1:7">
      <c r="A1560" s="21" t="s">
        <v>1662</v>
      </c>
      <c r="B1560" s="22" t="s">
        <v>56</v>
      </c>
      <c r="C1560" s="22" t="s">
        <v>124</v>
      </c>
      <c r="D1560" s="23">
        <v>1</v>
      </c>
      <c r="E1560" s="24">
        <f>SUM($D$2:D1560)/SUM($D$2:$D$2846)</f>
        <v>0.8907391673746814</v>
      </c>
      <c r="F1560" s="22" t="s">
        <v>46</v>
      </c>
      <c r="G1560" s="25" t="s">
        <v>125</v>
      </c>
    </row>
    <row r="1561" spans="1:7">
      <c r="A1561" s="21" t="s">
        <v>1663</v>
      </c>
      <c r="B1561" s="22" t="s">
        <v>56</v>
      </c>
      <c r="C1561" s="22" t="s">
        <v>124</v>
      </c>
      <c r="D1561" s="23">
        <v>1</v>
      </c>
      <c r="E1561" s="24">
        <f>SUM($D$2:D1561)/SUM($D$2:$D$2846)</f>
        <v>0.89082412914188613</v>
      </c>
      <c r="F1561" s="22" t="s">
        <v>46</v>
      </c>
      <c r="G1561" s="25" t="s">
        <v>125</v>
      </c>
    </row>
    <row r="1562" spans="1:7">
      <c r="A1562" s="21" t="s">
        <v>1664</v>
      </c>
      <c r="B1562" s="22" t="s">
        <v>56</v>
      </c>
      <c r="C1562" s="22" t="s">
        <v>124</v>
      </c>
      <c r="D1562" s="23">
        <v>1</v>
      </c>
      <c r="E1562" s="24">
        <f>SUM($D$2:D1562)/SUM($D$2:$D$2846)</f>
        <v>0.89090909090909087</v>
      </c>
      <c r="F1562" s="22" t="s">
        <v>46</v>
      </c>
      <c r="G1562" s="25" t="s">
        <v>125</v>
      </c>
    </row>
    <row r="1563" spans="1:7">
      <c r="A1563" s="21" t="s">
        <v>1665</v>
      </c>
      <c r="B1563" s="22" t="s">
        <v>56</v>
      </c>
      <c r="C1563" s="22" t="s">
        <v>124</v>
      </c>
      <c r="D1563" s="23">
        <v>1</v>
      </c>
      <c r="E1563" s="24">
        <f>SUM($D$2:D1563)/SUM($D$2:$D$2846)</f>
        <v>0.89099405267629561</v>
      </c>
      <c r="F1563" s="22" t="s">
        <v>46</v>
      </c>
      <c r="G1563" s="25" t="s">
        <v>125</v>
      </c>
    </row>
    <row r="1564" spans="1:7">
      <c r="A1564" s="21" t="s">
        <v>1666</v>
      </c>
      <c r="B1564" s="22" t="s">
        <v>56</v>
      </c>
      <c r="C1564" s="22" t="s">
        <v>124</v>
      </c>
      <c r="D1564" s="23">
        <v>1</v>
      </c>
      <c r="E1564" s="24">
        <f>SUM($D$2:D1564)/SUM($D$2:$D$2846)</f>
        <v>0.89107901444350046</v>
      </c>
      <c r="F1564" s="22" t="s">
        <v>46</v>
      </c>
      <c r="G1564" s="25" t="s">
        <v>125</v>
      </c>
    </row>
    <row r="1565" spans="1:7">
      <c r="A1565" s="21" t="s">
        <v>1667</v>
      </c>
      <c r="B1565" s="22" t="s">
        <v>56</v>
      </c>
      <c r="C1565" s="22" t="s">
        <v>124</v>
      </c>
      <c r="D1565" s="23">
        <v>1</v>
      </c>
      <c r="E1565" s="24">
        <f>SUM($D$2:D1565)/SUM($D$2:$D$2846)</f>
        <v>0.8911639762107052</v>
      </c>
      <c r="F1565" s="22" t="s">
        <v>46</v>
      </c>
      <c r="G1565" s="25" t="s">
        <v>125</v>
      </c>
    </row>
    <row r="1566" spans="1:7">
      <c r="A1566" s="21" t="s">
        <v>1668</v>
      </c>
      <c r="B1566" s="22" t="s">
        <v>56</v>
      </c>
      <c r="C1566" s="22" t="s">
        <v>124</v>
      </c>
      <c r="D1566" s="23">
        <v>1</v>
      </c>
      <c r="E1566" s="24">
        <f>SUM($D$2:D1566)/SUM($D$2:$D$2846)</f>
        <v>0.89124893797790994</v>
      </c>
      <c r="F1566" s="22" t="s">
        <v>46</v>
      </c>
      <c r="G1566" s="25" t="s">
        <v>125</v>
      </c>
    </row>
    <row r="1567" spans="1:7">
      <c r="A1567" s="21" t="s">
        <v>1669</v>
      </c>
      <c r="B1567" s="22" t="s">
        <v>56</v>
      </c>
      <c r="C1567" s="22" t="s">
        <v>124</v>
      </c>
      <c r="D1567" s="23">
        <v>1</v>
      </c>
      <c r="E1567" s="24">
        <f>SUM($D$2:D1567)/SUM($D$2:$D$2846)</f>
        <v>0.89133389974511468</v>
      </c>
      <c r="F1567" s="22" t="s">
        <v>46</v>
      </c>
      <c r="G1567" s="25" t="s">
        <v>125</v>
      </c>
    </row>
    <row r="1568" spans="1:7">
      <c r="A1568" s="21" t="s">
        <v>1670</v>
      </c>
      <c r="B1568" s="22" t="s">
        <v>56</v>
      </c>
      <c r="C1568" s="22" t="s">
        <v>124</v>
      </c>
      <c r="D1568" s="23">
        <v>1</v>
      </c>
      <c r="E1568" s="24">
        <f>SUM($D$2:D1568)/SUM($D$2:$D$2846)</f>
        <v>0.89141886151231942</v>
      </c>
      <c r="F1568" s="22" t="s">
        <v>46</v>
      </c>
      <c r="G1568" s="25" t="s">
        <v>125</v>
      </c>
    </row>
    <row r="1569" spans="1:7">
      <c r="A1569" s="21" t="s">
        <v>1671</v>
      </c>
      <c r="B1569" s="22" t="s">
        <v>56</v>
      </c>
      <c r="C1569" s="22" t="s">
        <v>124</v>
      </c>
      <c r="D1569" s="23">
        <v>1</v>
      </c>
      <c r="E1569" s="24">
        <f>SUM($D$2:D1569)/SUM($D$2:$D$2846)</f>
        <v>0.89150382327952427</v>
      </c>
      <c r="F1569" s="22" t="s">
        <v>46</v>
      </c>
      <c r="G1569" s="25" t="s">
        <v>125</v>
      </c>
    </row>
    <row r="1570" spans="1:7">
      <c r="A1570" s="21" t="s">
        <v>1672</v>
      </c>
      <c r="B1570" s="26" t="s">
        <v>163</v>
      </c>
      <c r="C1570" s="22" t="s">
        <v>45</v>
      </c>
      <c r="D1570" s="23">
        <v>1</v>
      </c>
      <c r="E1570" s="24">
        <f>SUM($D$2:D1570)/SUM($D$2:$D$2846)</f>
        <v>0.891588785046729</v>
      </c>
      <c r="F1570" s="22" t="s">
        <v>46</v>
      </c>
      <c r="G1570" s="25" t="s">
        <v>164</v>
      </c>
    </row>
    <row r="1571" spans="1:7">
      <c r="A1571" s="21" t="s">
        <v>1673</v>
      </c>
      <c r="B1571" s="26" t="s">
        <v>163</v>
      </c>
      <c r="C1571" s="22" t="s">
        <v>45</v>
      </c>
      <c r="D1571" s="23">
        <v>1</v>
      </c>
      <c r="E1571" s="24">
        <f>SUM($D$2:D1571)/SUM($D$2:$D$2846)</f>
        <v>0.89167374681393374</v>
      </c>
      <c r="F1571" s="22" t="s">
        <v>46</v>
      </c>
      <c r="G1571" s="25" t="s">
        <v>164</v>
      </c>
    </row>
    <row r="1572" spans="1:7">
      <c r="A1572" s="21" t="s">
        <v>1674</v>
      </c>
      <c r="B1572" s="26" t="s">
        <v>163</v>
      </c>
      <c r="C1572" s="22" t="s">
        <v>45</v>
      </c>
      <c r="D1572" s="23">
        <v>1</v>
      </c>
      <c r="E1572" s="24">
        <f>SUM($D$2:D1572)/SUM($D$2:$D$2846)</f>
        <v>0.89175870858113848</v>
      </c>
      <c r="F1572" s="22" t="s">
        <v>46</v>
      </c>
      <c r="G1572" s="25" t="s">
        <v>164</v>
      </c>
    </row>
    <row r="1573" spans="1:7">
      <c r="A1573" s="21" t="s">
        <v>1675</v>
      </c>
      <c r="B1573" s="26" t="s">
        <v>163</v>
      </c>
      <c r="C1573" s="22" t="s">
        <v>45</v>
      </c>
      <c r="D1573" s="23">
        <v>1</v>
      </c>
      <c r="E1573" s="24">
        <f>SUM($D$2:D1573)/SUM($D$2:$D$2846)</f>
        <v>0.89184367034834322</v>
      </c>
      <c r="F1573" s="22" t="s">
        <v>46</v>
      </c>
      <c r="G1573" s="25" t="s">
        <v>164</v>
      </c>
    </row>
    <row r="1574" spans="1:7">
      <c r="A1574" s="21" t="s">
        <v>1676</v>
      </c>
      <c r="B1574" s="22" t="s">
        <v>56</v>
      </c>
      <c r="C1574" s="22" t="s">
        <v>124</v>
      </c>
      <c r="D1574" s="23">
        <v>1</v>
      </c>
      <c r="E1574" s="24">
        <f>SUM($D$2:D1574)/SUM($D$2:$D$2846)</f>
        <v>0.89192863211554796</v>
      </c>
      <c r="F1574" s="22" t="s">
        <v>46</v>
      </c>
      <c r="G1574" s="25" t="s">
        <v>125</v>
      </c>
    </row>
    <row r="1575" spans="1:7">
      <c r="A1575" s="21" t="s">
        <v>1677</v>
      </c>
      <c r="B1575" s="22" t="s">
        <v>56</v>
      </c>
      <c r="C1575" s="22" t="s">
        <v>124</v>
      </c>
      <c r="D1575" s="23">
        <v>1</v>
      </c>
      <c r="E1575" s="24">
        <f>SUM($D$2:D1575)/SUM($D$2:$D$2846)</f>
        <v>0.89201359388275281</v>
      </c>
      <c r="F1575" s="22" t="s">
        <v>46</v>
      </c>
      <c r="G1575" s="25" t="s">
        <v>125</v>
      </c>
    </row>
    <row r="1576" spans="1:7">
      <c r="A1576" s="21" t="s">
        <v>1678</v>
      </c>
      <c r="B1576" s="22" t="s">
        <v>56</v>
      </c>
      <c r="C1576" s="22" t="s">
        <v>124</v>
      </c>
      <c r="D1576" s="23">
        <v>1</v>
      </c>
      <c r="E1576" s="24">
        <f>SUM($D$2:D1576)/SUM($D$2:$D$2846)</f>
        <v>0.89209855564995755</v>
      </c>
      <c r="F1576" s="22" t="s">
        <v>46</v>
      </c>
      <c r="G1576" s="25" t="s">
        <v>125</v>
      </c>
    </row>
    <row r="1577" spans="1:7">
      <c r="A1577" s="21" t="s">
        <v>1679</v>
      </c>
      <c r="B1577" s="22" t="s">
        <v>56</v>
      </c>
      <c r="C1577" s="22" t="s">
        <v>124</v>
      </c>
      <c r="D1577" s="23">
        <v>1</v>
      </c>
      <c r="E1577" s="24">
        <f>SUM($D$2:D1577)/SUM($D$2:$D$2846)</f>
        <v>0.89218351741716229</v>
      </c>
      <c r="F1577" s="22" t="s">
        <v>46</v>
      </c>
      <c r="G1577" s="25" t="s">
        <v>125</v>
      </c>
    </row>
    <row r="1578" spans="1:7">
      <c r="A1578" s="21" t="s">
        <v>1680</v>
      </c>
      <c r="B1578" s="22" t="s">
        <v>56</v>
      </c>
      <c r="C1578" s="22" t="s">
        <v>124</v>
      </c>
      <c r="D1578" s="23">
        <v>1</v>
      </c>
      <c r="E1578" s="24">
        <f>SUM($D$2:D1578)/SUM($D$2:$D$2846)</f>
        <v>0.89226847918436702</v>
      </c>
      <c r="F1578" s="22" t="s">
        <v>46</v>
      </c>
      <c r="G1578" s="25" t="s">
        <v>125</v>
      </c>
    </row>
    <row r="1579" spans="1:7">
      <c r="A1579" s="21" t="s">
        <v>1681</v>
      </c>
      <c r="B1579" s="22" t="s">
        <v>56</v>
      </c>
      <c r="C1579" s="22" t="s">
        <v>124</v>
      </c>
      <c r="D1579" s="23">
        <v>1</v>
      </c>
      <c r="E1579" s="24">
        <f>SUM($D$2:D1579)/SUM($D$2:$D$2846)</f>
        <v>0.89235344095157176</v>
      </c>
      <c r="F1579" s="22" t="s">
        <v>46</v>
      </c>
      <c r="G1579" s="25" t="s">
        <v>125</v>
      </c>
    </row>
    <row r="1580" spans="1:7">
      <c r="A1580" s="21" t="s">
        <v>1682</v>
      </c>
      <c r="B1580" s="22" t="s">
        <v>56</v>
      </c>
      <c r="C1580" s="22" t="s">
        <v>124</v>
      </c>
      <c r="D1580" s="23">
        <v>1</v>
      </c>
      <c r="E1580" s="24">
        <f>SUM($D$2:D1580)/SUM($D$2:$D$2846)</f>
        <v>0.8924384027187765</v>
      </c>
      <c r="F1580" s="22" t="s">
        <v>46</v>
      </c>
      <c r="G1580" s="25" t="s">
        <v>125</v>
      </c>
    </row>
    <row r="1581" spans="1:7">
      <c r="A1581" s="21" t="s">
        <v>1683</v>
      </c>
      <c r="B1581" s="22" t="s">
        <v>56</v>
      </c>
      <c r="C1581" s="22" t="s">
        <v>124</v>
      </c>
      <c r="D1581" s="23">
        <v>1</v>
      </c>
      <c r="E1581" s="24">
        <f>SUM($D$2:D1581)/SUM($D$2:$D$2846)</f>
        <v>0.89252336448598135</v>
      </c>
      <c r="F1581" s="22" t="s">
        <v>46</v>
      </c>
      <c r="G1581" s="25" t="s">
        <v>125</v>
      </c>
    </row>
    <row r="1582" spans="1:7">
      <c r="A1582" s="21" t="s">
        <v>1684</v>
      </c>
      <c r="B1582" s="22" t="s">
        <v>56</v>
      </c>
      <c r="C1582" s="22" t="s">
        <v>124</v>
      </c>
      <c r="D1582" s="23">
        <v>1</v>
      </c>
      <c r="E1582" s="24">
        <f>SUM($D$2:D1582)/SUM($D$2:$D$2846)</f>
        <v>0.89260832625318609</v>
      </c>
      <c r="F1582" s="22" t="s">
        <v>46</v>
      </c>
      <c r="G1582" s="25" t="s">
        <v>125</v>
      </c>
    </row>
    <row r="1583" spans="1:7">
      <c r="A1583" s="21" t="s">
        <v>1685</v>
      </c>
      <c r="B1583" s="22" t="s">
        <v>56</v>
      </c>
      <c r="C1583" s="22" t="s">
        <v>124</v>
      </c>
      <c r="D1583" s="23">
        <v>1</v>
      </c>
      <c r="E1583" s="24">
        <f>SUM($D$2:D1583)/SUM($D$2:$D$2846)</f>
        <v>0.89269328802039083</v>
      </c>
      <c r="F1583" s="22" t="s">
        <v>46</v>
      </c>
      <c r="G1583" s="25" t="s">
        <v>125</v>
      </c>
    </row>
    <row r="1584" spans="1:7">
      <c r="A1584" s="21" t="s">
        <v>1686</v>
      </c>
      <c r="B1584" s="26" t="s">
        <v>163</v>
      </c>
      <c r="C1584" s="22" t="s">
        <v>45</v>
      </c>
      <c r="D1584" s="23">
        <v>1</v>
      </c>
      <c r="E1584" s="24">
        <f>SUM($D$2:D1584)/SUM($D$2:$D$2846)</f>
        <v>0.89277824978759557</v>
      </c>
      <c r="F1584" s="22" t="s">
        <v>46</v>
      </c>
      <c r="G1584" s="25" t="s">
        <v>164</v>
      </c>
    </row>
    <row r="1585" spans="1:7">
      <c r="A1585" s="21" t="s">
        <v>1687</v>
      </c>
      <c r="B1585" s="26" t="s">
        <v>163</v>
      </c>
      <c r="C1585" s="22" t="s">
        <v>45</v>
      </c>
      <c r="D1585" s="23">
        <v>1</v>
      </c>
      <c r="E1585" s="24">
        <f>SUM($D$2:D1585)/SUM($D$2:$D$2846)</f>
        <v>0.89286321155480031</v>
      </c>
      <c r="F1585" s="22" t="s">
        <v>46</v>
      </c>
      <c r="G1585" s="25" t="s">
        <v>164</v>
      </c>
    </row>
    <row r="1586" spans="1:7">
      <c r="A1586" s="21" t="s">
        <v>1688</v>
      </c>
      <c r="B1586" s="26" t="s">
        <v>163</v>
      </c>
      <c r="C1586" s="22" t="s">
        <v>45</v>
      </c>
      <c r="D1586" s="23">
        <v>1</v>
      </c>
      <c r="E1586" s="24">
        <f>SUM($D$2:D1586)/SUM($D$2:$D$2846)</f>
        <v>0.89294817332200505</v>
      </c>
      <c r="F1586" s="22" t="s">
        <v>46</v>
      </c>
      <c r="G1586" s="25" t="s">
        <v>164</v>
      </c>
    </row>
    <row r="1587" spans="1:7">
      <c r="A1587" s="21" t="s">
        <v>1689</v>
      </c>
      <c r="B1587" s="22" t="s">
        <v>56</v>
      </c>
      <c r="C1587" s="22" t="s">
        <v>124</v>
      </c>
      <c r="D1587" s="23">
        <v>1</v>
      </c>
      <c r="E1587" s="24">
        <f>SUM($D$2:D1587)/SUM($D$2:$D$2846)</f>
        <v>0.8930331350892099</v>
      </c>
      <c r="F1587" s="22" t="s">
        <v>46</v>
      </c>
      <c r="G1587" s="25" t="s">
        <v>125</v>
      </c>
    </row>
    <row r="1588" spans="1:7">
      <c r="A1588" s="21" t="s">
        <v>1690</v>
      </c>
      <c r="B1588" s="26" t="s">
        <v>163</v>
      </c>
      <c r="C1588" s="22" t="s">
        <v>45</v>
      </c>
      <c r="D1588" s="23">
        <v>1</v>
      </c>
      <c r="E1588" s="24">
        <f>SUM($D$2:D1588)/SUM($D$2:$D$2846)</f>
        <v>0.89311809685641463</v>
      </c>
      <c r="F1588" s="22" t="s">
        <v>46</v>
      </c>
      <c r="G1588" s="25" t="s">
        <v>164</v>
      </c>
    </row>
    <row r="1589" spans="1:7">
      <c r="A1589" s="21" t="s">
        <v>1691</v>
      </c>
      <c r="B1589" s="26" t="s">
        <v>163</v>
      </c>
      <c r="C1589" s="22" t="s">
        <v>45</v>
      </c>
      <c r="D1589" s="23">
        <v>1</v>
      </c>
      <c r="E1589" s="24">
        <f>SUM($D$2:D1589)/SUM($D$2:$D$2846)</f>
        <v>0.89320305862361937</v>
      </c>
      <c r="F1589" s="22" t="s">
        <v>46</v>
      </c>
      <c r="G1589" s="25" t="s">
        <v>164</v>
      </c>
    </row>
    <row r="1590" spans="1:7">
      <c r="A1590" s="21" t="s">
        <v>1692</v>
      </c>
      <c r="B1590" s="26" t="s">
        <v>163</v>
      </c>
      <c r="C1590" s="22" t="s">
        <v>45</v>
      </c>
      <c r="D1590" s="23">
        <v>1</v>
      </c>
      <c r="E1590" s="24">
        <f>SUM($D$2:D1590)/SUM($D$2:$D$2846)</f>
        <v>0.89328802039082411</v>
      </c>
      <c r="F1590" s="22" t="s">
        <v>46</v>
      </c>
      <c r="G1590" s="25" t="s">
        <v>164</v>
      </c>
    </row>
    <row r="1591" spans="1:7">
      <c r="A1591" s="21" t="s">
        <v>1693</v>
      </c>
      <c r="B1591" s="26" t="s">
        <v>163</v>
      </c>
      <c r="C1591" s="22" t="s">
        <v>45</v>
      </c>
      <c r="D1591" s="23">
        <v>1</v>
      </c>
      <c r="E1591" s="24">
        <f>SUM($D$2:D1591)/SUM($D$2:$D$2846)</f>
        <v>0.89337298215802885</v>
      </c>
      <c r="F1591" s="22" t="s">
        <v>46</v>
      </c>
      <c r="G1591" s="25" t="s">
        <v>164</v>
      </c>
    </row>
    <row r="1592" spans="1:7">
      <c r="A1592" s="21" t="s">
        <v>1694</v>
      </c>
      <c r="B1592" s="26" t="s">
        <v>163</v>
      </c>
      <c r="C1592" s="22" t="s">
        <v>45</v>
      </c>
      <c r="D1592" s="23">
        <v>1</v>
      </c>
      <c r="E1592" s="24">
        <f>SUM($D$2:D1592)/SUM($D$2:$D$2846)</f>
        <v>0.8934579439252337</v>
      </c>
      <c r="F1592" s="22" t="s">
        <v>46</v>
      </c>
      <c r="G1592" s="25" t="s">
        <v>164</v>
      </c>
    </row>
    <row r="1593" spans="1:7">
      <c r="A1593" s="21" t="s">
        <v>1695</v>
      </c>
      <c r="B1593" s="26" t="s">
        <v>163</v>
      </c>
      <c r="C1593" s="22" t="s">
        <v>45</v>
      </c>
      <c r="D1593" s="23">
        <v>1</v>
      </c>
      <c r="E1593" s="24">
        <f>SUM($D$2:D1593)/SUM($D$2:$D$2846)</f>
        <v>0.89354290569243844</v>
      </c>
      <c r="F1593" s="22" t="s">
        <v>46</v>
      </c>
      <c r="G1593" s="25" t="s">
        <v>164</v>
      </c>
    </row>
    <row r="1594" spans="1:7">
      <c r="A1594" s="21" t="s">
        <v>1696</v>
      </c>
      <c r="B1594" s="26" t="s">
        <v>163</v>
      </c>
      <c r="C1594" s="22" t="s">
        <v>45</v>
      </c>
      <c r="D1594" s="23">
        <v>1</v>
      </c>
      <c r="E1594" s="24">
        <f>SUM($D$2:D1594)/SUM($D$2:$D$2846)</f>
        <v>0.89362786745964318</v>
      </c>
      <c r="F1594" s="22" t="s">
        <v>46</v>
      </c>
      <c r="G1594" s="25" t="s">
        <v>164</v>
      </c>
    </row>
    <row r="1595" spans="1:7">
      <c r="A1595" s="21" t="s">
        <v>90</v>
      </c>
      <c r="B1595" s="26" t="s">
        <v>163</v>
      </c>
      <c r="C1595" s="22" t="s">
        <v>73</v>
      </c>
      <c r="D1595" s="23">
        <v>1</v>
      </c>
      <c r="E1595" s="24">
        <f>SUM($D$2:D1595)/SUM($D$2:$D$2846)</f>
        <v>0.89371282922684792</v>
      </c>
      <c r="F1595" s="22" t="s">
        <v>46</v>
      </c>
      <c r="G1595" s="25" t="s">
        <v>74</v>
      </c>
    </row>
    <row r="1596" spans="1:7">
      <c r="A1596" s="21" t="s">
        <v>1697</v>
      </c>
      <c r="B1596" s="26" t="s">
        <v>163</v>
      </c>
      <c r="C1596" s="22" t="s">
        <v>45</v>
      </c>
      <c r="D1596" s="23">
        <v>1</v>
      </c>
      <c r="E1596" s="24">
        <f>SUM($D$2:D1596)/SUM($D$2:$D$2846)</f>
        <v>0.89379779099405265</v>
      </c>
      <c r="F1596" s="22" t="s">
        <v>46</v>
      </c>
      <c r="G1596" s="25" t="s">
        <v>164</v>
      </c>
    </row>
    <row r="1597" spans="1:7">
      <c r="A1597" s="21" t="s">
        <v>1698</v>
      </c>
      <c r="B1597" s="22" t="s">
        <v>56</v>
      </c>
      <c r="C1597" s="22" t="s">
        <v>124</v>
      </c>
      <c r="D1597" s="23">
        <v>1</v>
      </c>
      <c r="E1597" s="24">
        <f>SUM($D$2:D1597)/SUM($D$2:$D$2846)</f>
        <v>0.89388275276125739</v>
      </c>
      <c r="F1597" s="22" t="s">
        <v>46</v>
      </c>
      <c r="G1597" s="25" t="s">
        <v>125</v>
      </c>
    </row>
    <row r="1598" spans="1:7">
      <c r="A1598" s="21" t="s">
        <v>1699</v>
      </c>
      <c r="B1598" s="22" t="s">
        <v>56</v>
      </c>
      <c r="C1598" s="22" t="s">
        <v>124</v>
      </c>
      <c r="D1598" s="23">
        <v>1</v>
      </c>
      <c r="E1598" s="24">
        <f>SUM($D$2:D1598)/SUM($D$2:$D$2846)</f>
        <v>0.89396771452846224</v>
      </c>
      <c r="F1598" s="22" t="s">
        <v>46</v>
      </c>
      <c r="G1598" s="25" t="s">
        <v>125</v>
      </c>
    </row>
    <row r="1599" spans="1:7">
      <c r="A1599" s="21" t="s">
        <v>1700</v>
      </c>
      <c r="B1599" s="22" t="s">
        <v>56</v>
      </c>
      <c r="C1599" s="22" t="s">
        <v>124</v>
      </c>
      <c r="D1599" s="23">
        <v>1</v>
      </c>
      <c r="E1599" s="24">
        <f>SUM($D$2:D1599)/SUM($D$2:$D$2846)</f>
        <v>0.89405267629566698</v>
      </c>
      <c r="F1599" s="22" t="s">
        <v>46</v>
      </c>
      <c r="G1599" s="25" t="s">
        <v>125</v>
      </c>
    </row>
    <row r="1600" spans="1:7">
      <c r="A1600" s="21" t="s">
        <v>1701</v>
      </c>
      <c r="B1600" s="22" t="s">
        <v>56</v>
      </c>
      <c r="C1600" s="22" t="s">
        <v>124</v>
      </c>
      <c r="D1600" s="23">
        <v>1</v>
      </c>
      <c r="E1600" s="24">
        <f>SUM($D$2:D1600)/SUM($D$2:$D$2846)</f>
        <v>0.89413763806287172</v>
      </c>
      <c r="F1600" s="22" t="s">
        <v>46</v>
      </c>
      <c r="G1600" s="25" t="s">
        <v>125</v>
      </c>
    </row>
    <row r="1601" spans="1:7">
      <c r="A1601" s="21" t="s">
        <v>1702</v>
      </c>
      <c r="B1601" s="26" t="s">
        <v>163</v>
      </c>
      <c r="C1601" s="22" t="s">
        <v>45</v>
      </c>
      <c r="D1601" s="23">
        <v>1</v>
      </c>
      <c r="E1601" s="24">
        <f>SUM($D$2:D1601)/SUM($D$2:$D$2846)</f>
        <v>0.89422259983007646</v>
      </c>
      <c r="F1601" s="22" t="s">
        <v>46</v>
      </c>
      <c r="G1601" s="25" t="s">
        <v>164</v>
      </c>
    </row>
    <row r="1602" spans="1:7">
      <c r="A1602" s="21" t="s">
        <v>1703</v>
      </c>
      <c r="B1602" s="26" t="s">
        <v>163</v>
      </c>
      <c r="C1602" s="22" t="s">
        <v>45</v>
      </c>
      <c r="D1602" s="23">
        <v>1</v>
      </c>
      <c r="E1602" s="24">
        <f>SUM($D$2:D1602)/SUM($D$2:$D$2846)</f>
        <v>0.8943075615972812</v>
      </c>
      <c r="F1602" s="22" t="s">
        <v>46</v>
      </c>
      <c r="G1602" s="25" t="s">
        <v>164</v>
      </c>
    </row>
    <row r="1603" spans="1:7">
      <c r="A1603" s="21" t="s">
        <v>1704</v>
      </c>
      <c r="B1603" s="26" t="s">
        <v>163</v>
      </c>
      <c r="C1603" s="22" t="s">
        <v>45</v>
      </c>
      <c r="D1603" s="23">
        <v>1</v>
      </c>
      <c r="E1603" s="24">
        <f>SUM($D$2:D1603)/SUM($D$2:$D$2846)</f>
        <v>0.89439252336448594</v>
      </c>
      <c r="F1603" s="22" t="s">
        <v>46</v>
      </c>
      <c r="G1603" s="25" t="s">
        <v>164</v>
      </c>
    </row>
    <row r="1604" spans="1:7">
      <c r="A1604" s="21" t="s">
        <v>1705</v>
      </c>
      <c r="B1604" s="26" t="s">
        <v>163</v>
      </c>
      <c r="C1604" s="22" t="s">
        <v>45</v>
      </c>
      <c r="D1604" s="23">
        <v>1</v>
      </c>
      <c r="E1604" s="24">
        <f>SUM($D$2:D1604)/SUM($D$2:$D$2846)</f>
        <v>0.89447748513169079</v>
      </c>
      <c r="F1604" s="22" t="s">
        <v>46</v>
      </c>
      <c r="G1604" s="25" t="s">
        <v>164</v>
      </c>
    </row>
    <row r="1605" spans="1:7">
      <c r="A1605" s="21" t="s">
        <v>1706</v>
      </c>
      <c r="B1605" s="22" t="s">
        <v>56</v>
      </c>
      <c r="C1605" s="22" t="s">
        <v>124</v>
      </c>
      <c r="D1605" s="23">
        <v>1</v>
      </c>
      <c r="E1605" s="24">
        <f>SUM($D$2:D1605)/SUM($D$2:$D$2846)</f>
        <v>0.89456244689889552</v>
      </c>
      <c r="F1605" s="22" t="s">
        <v>46</v>
      </c>
      <c r="G1605" s="25" t="s">
        <v>125</v>
      </c>
    </row>
    <row r="1606" spans="1:7">
      <c r="A1606" s="21" t="s">
        <v>1707</v>
      </c>
      <c r="B1606" s="26" t="s">
        <v>163</v>
      </c>
      <c r="C1606" s="22" t="s">
        <v>45</v>
      </c>
      <c r="D1606" s="23">
        <v>1</v>
      </c>
      <c r="E1606" s="24">
        <f>SUM($D$2:D1606)/SUM($D$2:$D$2846)</f>
        <v>0.89464740866610026</v>
      </c>
      <c r="F1606" s="22" t="s">
        <v>46</v>
      </c>
      <c r="G1606" s="25" t="s">
        <v>164</v>
      </c>
    </row>
    <row r="1607" spans="1:7">
      <c r="A1607" s="21" t="s">
        <v>1708</v>
      </c>
      <c r="B1607" s="26" t="s">
        <v>163</v>
      </c>
      <c r="C1607" s="22" t="s">
        <v>45</v>
      </c>
      <c r="D1607" s="23">
        <v>1</v>
      </c>
      <c r="E1607" s="24">
        <f>SUM($D$2:D1607)/SUM($D$2:$D$2846)</f>
        <v>0.894732370433305</v>
      </c>
      <c r="F1607" s="22" t="s">
        <v>46</v>
      </c>
      <c r="G1607" s="25" t="s">
        <v>164</v>
      </c>
    </row>
    <row r="1608" spans="1:7">
      <c r="A1608" s="21" t="s">
        <v>1709</v>
      </c>
      <c r="B1608" s="26" t="s">
        <v>163</v>
      </c>
      <c r="C1608" s="22" t="s">
        <v>45</v>
      </c>
      <c r="D1608" s="23">
        <v>1</v>
      </c>
      <c r="E1608" s="24">
        <f>SUM($D$2:D1608)/SUM($D$2:$D$2846)</f>
        <v>0.89481733220050974</v>
      </c>
      <c r="F1608" s="22" t="s">
        <v>46</v>
      </c>
      <c r="G1608" s="25" t="s">
        <v>164</v>
      </c>
    </row>
    <row r="1609" spans="1:7">
      <c r="A1609" s="21" t="s">
        <v>1710</v>
      </c>
      <c r="B1609" s="26" t="s">
        <v>163</v>
      </c>
      <c r="C1609" s="22" t="s">
        <v>45</v>
      </c>
      <c r="D1609" s="23">
        <v>1</v>
      </c>
      <c r="E1609" s="24">
        <f>SUM($D$2:D1609)/SUM($D$2:$D$2846)</f>
        <v>0.89490229396771448</v>
      </c>
      <c r="F1609" s="22" t="s">
        <v>46</v>
      </c>
      <c r="G1609" s="25" t="s">
        <v>164</v>
      </c>
    </row>
    <row r="1610" spans="1:7">
      <c r="A1610" s="21" t="s">
        <v>1711</v>
      </c>
      <c r="B1610" s="26" t="s">
        <v>163</v>
      </c>
      <c r="C1610" s="22" t="s">
        <v>45</v>
      </c>
      <c r="D1610" s="23">
        <v>1</v>
      </c>
      <c r="E1610" s="24">
        <f>SUM($D$2:D1610)/SUM($D$2:$D$2846)</f>
        <v>0.89498725573491933</v>
      </c>
      <c r="F1610" s="22" t="s">
        <v>46</v>
      </c>
      <c r="G1610" s="25" t="s">
        <v>164</v>
      </c>
    </row>
    <row r="1611" spans="1:7">
      <c r="A1611" s="21" t="s">
        <v>1712</v>
      </c>
      <c r="B1611" s="26" t="s">
        <v>163</v>
      </c>
      <c r="C1611" s="22" t="s">
        <v>45</v>
      </c>
      <c r="D1611" s="23">
        <v>1</v>
      </c>
      <c r="E1611" s="24">
        <f>SUM($D$2:D1611)/SUM($D$2:$D$2846)</f>
        <v>0.89507221750212407</v>
      </c>
      <c r="F1611" s="22" t="s">
        <v>46</v>
      </c>
      <c r="G1611" s="25" t="s">
        <v>164</v>
      </c>
    </row>
    <row r="1612" spans="1:7">
      <c r="A1612" s="21" t="s">
        <v>1713</v>
      </c>
      <c r="B1612" s="22" t="s">
        <v>56</v>
      </c>
      <c r="C1612" s="22" t="s">
        <v>124</v>
      </c>
      <c r="D1612" s="23">
        <v>1</v>
      </c>
      <c r="E1612" s="24">
        <f>SUM($D$2:D1612)/SUM($D$2:$D$2846)</f>
        <v>0.89515717926932881</v>
      </c>
      <c r="F1612" s="22" t="s">
        <v>46</v>
      </c>
      <c r="G1612" s="25" t="s">
        <v>125</v>
      </c>
    </row>
    <row r="1613" spans="1:7">
      <c r="A1613" s="21" t="s">
        <v>1714</v>
      </c>
      <c r="B1613" s="26" t="s">
        <v>163</v>
      </c>
      <c r="C1613" s="22" t="s">
        <v>45</v>
      </c>
      <c r="D1613" s="23">
        <v>1</v>
      </c>
      <c r="E1613" s="24">
        <f>SUM($D$2:D1613)/SUM($D$2:$D$2846)</f>
        <v>0.89524214103653355</v>
      </c>
      <c r="F1613" s="22" t="s">
        <v>46</v>
      </c>
      <c r="G1613" s="25" t="s">
        <v>164</v>
      </c>
    </row>
    <row r="1614" spans="1:7">
      <c r="A1614" s="21" t="s">
        <v>1715</v>
      </c>
      <c r="B1614" s="26" t="s">
        <v>163</v>
      </c>
      <c r="C1614" s="22" t="s">
        <v>45</v>
      </c>
      <c r="D1614" s="23">
        <v>1</v>
      </c>
      <c r="E1614" s="24">
        <f>SUM($D$2:D1614)/SUM($D$2:$D$2846)</f>
        <v>0.89532710280373828</v>
      </c>
      <c r="F1614" s="22" t="s">
        <v>46</v>
      </c>
      <c r="G1614" s="25" t="s">
        <v>164</v>
      </c>
    </row>
    <row r="1615" spans="1:7">
      <c r="A1615" s="21" t="s">
        <v>1716</v>
      </c>
      <c r="B1615" s="26" t="s">
        <v>163</v>
      </c>
      <c r="C1615" s="22" t="s">
        <v>45</v>
      </c>
      <c r="D1615" s="23">
        <v>1</v>
      </c>
      <c r="E1615" s="24">
        <f>SUM($D$2:D1615)/SUM($D$2:$D$2846)</f>
        <v>0.89541206457094302</v>
      </c>
      <c r="F1615" s="22" t="s">
        <v>46</v>
      </c>
      <c r="G1615" s="25" t="s">
        <v>164</v>
      </c>
    </row>
    <row r="1616" spans="1:7">
      <c r="A1616" s="21" t="s">
        <v>1717</v>
      </c>
      <c r="B1616" s="22" t="s">
        <v>56</v>
      </c>
      <c r="C1616" s="22" t="s">
        <v>124</v>
      </c>
      <c r="D1616" s="23">
        <v>1</v>
      </c>
      <c r="E1616" s="24">
        <f>SUM($D$2:D1616)/SUM($D$2:$D$2846)</f>
        <v>0.89549702633814787</v>
      </c>
      <c r="F1616" s="22" t="s">
        <v>46</v>
      </c>
      <c r="G1616" s="25" t="s">
        <v>125</v>
      </c>
    </row>
    <row r="1617" spans="1:7">
      <c r="A1617" s="21" t="s">
        <v>1718</v>
      </c>
      <c r="B1617" s="26" t="s">
        <v>163</v>
      </c>
      <c r="C1617" s="22" t="s">
        <v>45</v>
      </c>
      <c r="D1617" s="23">
        <v>1</v>
      </c>
      <c r="E1617" s="24">
        <f>SUM($D$2:D1617)/SUM($D$2:$D$2846)</f>
        <v>0.89558198810535261</v>
      </c>
      <c r="F1617" s="22" t="s">
        <v>46</v>
      </c>
      <c r="G1617" s="25" t="s">
        <v>164</v>
      </c>
    </row>
    <row r="1618" spans="1:7">
      <c r="A1618" s="21" t="s">
        <v>1719</v>
      </c>
      <c r="B1618" s="26" t="s">
        <v>163</v>
      </c>
      <c r="C1618" s="22" t="s">
        <v>45</v>
      </c>
      <c r="D1618" s="23">
        <v>1</v>
      </c>
      <c r="E1618" s="24">
        <f>SUM($D$2:D1618)/SUM($D$2:$D$2846)</f>
        <v>0.89566694987255735</v>
      </c>
      <c r="F1618" s="22" t="s">
        <v>46</v>
      </c>
      <c r="G1618" s="25" t="s">
        <v>164</v>
      </c>
    </row>
    <row r="1619" spans="1:7">
      <c r="A1619" s="21" t="s">
        <v>1720</v>
      </c>
      <c r="B1619" s="26" t="s">
        <v>163</v>
      </c>
      <c r="C1619" s="22" t="s">
        <v>45</v>
      </c>
      <c r="D1619" s="23">
        <v>1</v>
      </c>
      <c r="E1619" s="24">
        <f>SUM($D$2:D1619)/SUM($D$2:$D$2846)</f>
        <v>0.89575191163976209</v>
      </c>
      <c r="F1619" s="22" t="s">
        <v>46</v>
      </c>
      <c r="G1619" s="25" t="s">
        <v>164</v>
      </c>
    </row>
    <row r="1620" spans="1:7">
      <c r="A1620" s="21" t="s">
        <v>1721</v>
      </c>
      <c r="B1620" s="22" t="s">
        <v>56</v>
      </c>
      <c r="C1620" s="22" t="s">
        <v>124</v>
      </c>
      <c r="D1620" s="23">
        <v>1</v>
      </c>
      <c r="E1620" s="24">
        <f>SUM($D$2:D1620)/SUM($D$2:$D$2846)</f>
        <v>0.89583687340696683</v>
      </c>
      <c r="F1620" s="22" t="s">
        <v>46</v>
      </c>
      <c r="G1620" s="25" t="s">
        <v>125</v>
      </c>
    </row>
    <row r="1621" spans="1:7">
      <c r="A1621" s="21" t="s">
        <v>1722</v>
      </c>
      <c r="B1621" s="26" t="s">
        <v>163</v>
      </c>
      <c r="C1621" s="22" t="s">
        <v>45</v>
      </c>
      <c r="D1621" s="23">
        <v>1</v>
      </c>
      <c r="E1621" s="24">
        <f>SUM($D$2:D1621)/SUM($D$2:$D$2846)</f>
        <v>0.89592183517417168</v>
      </c>
      <c r="F1621" s="22" t="s">
        <v>46</v>
      </c>
      <c r="G1621" s="25" t="s">
        <v>164</v>
      </c>
    </row>
    <row r="1622" spans="1:7">
      <c r="A1622" s="21" t="s">
        <v>1723</v>
      </c>
      <c r="B1622" s="22" t="s">
        <v>56</v>
      </c>
      <c r="C1622" s="22" t="s">
        <v>124</v>
      </c>
      <c r="D1622" s="23">
        <v>1</v>
      </c>
      <c r="E1622" s="24">
        <f>SUM($D$2:D1622)/SUM($D$2:$D$2846)</f>
        <v>0.89600679694137642</v>
      </c>
      <c r="F1622" s="22" t="s">
        <v>46</v>
      </c>
      <c r="G1622" s="25" t="s">
        <v>125</v>
      </c>
    </row>
    <row r="1623" spans="1:7">
      <c r="A1623" s="21" t="s">
        <v>1724</v>
      </c>
      <c r="B1623" s="22" t="s">
        <v>56</v>
      </c>
      <c r="C1623" s="22" t="s">
        <v>124</v>
      </c>
      <c r="D1623" s="23">
        <v>1</v>
      </c>
      <c r="E1623" s="24">
        <f>SUM($D$2:D1623)/SUM($D$2:$D$2846)</f>
        <v>0.89609175870858115</v>
      </c>
      <c r="F1623" s="22" t="s">
        <v>46</v>
      </c>
      <c r="G1623" s="25" t="s">
        <v>125</v>
      </c>
    </row>
    <row r="1624" spans="1:7">
      <c r="A1624" s="21" t="s">
        <v>1725</v>
      </c>
      <c r="B1624" s="22" t="s">
        <v>56</v>
      </c>
      <c r="C1624" s="22" t="s">
        <v>124</v>
      </c>
      <c r="D1624" s="23">
        <v>1</v>
      </c>
      <c r="E1624" s="24">
        <f>SUM($D$2:D1624)/SUM($D$2:$D$2846)</f>
        <v>0.89617672047578589</v>
      </c>
      <c r="F1624" s="22" t="s">
        <v>46</v>
      </c>
      <c r="G1624" s="25" t="s">
        <v>125</v>
      </c>
    </row>
    <row r="1625" spans="1:7">
      <c r="A1625" s="21" t="s">
        <v>1726</v>
      </c>
      <c r="B1625" s="22" t="s">
        <v>56</v>
      </c>
      <c r="C1625" s="22" t="s">
        <v>124</v>
      </c>
      <c r="D1625" s="23">
        <v>1</v>
      </c>
      <c r="E1625" s="24">
        <f>SUM($D$2:D1625)/SUM($D$2:$D$2846)</f>
        <v>0.89626168224299063</v>
      </c>
      <c r="F1625" s="22" t="s">
        <v>46</v>
      </c>
      <c r="G1625" s="25" t="s">
        <v>125</v>
      </c>
    </row>
    <row r="1626" spans="1:7">
      <c r="A1626" s="21" t="s">
        <v>1727</v>
      </c>
      <c r="B1626" s="22" t="s">
        <v>56</v>
      </c>
      <c r="C1626" s="22" t="s">
        <v>124</v>
      </c>
      <c r="D1626" s="23">
        <v>1</v>
      </c>
      <c r="E1626" s="24">
        <f>SUM($D$2:D1626)/SUM($D$2:$D$2846)</f>
        <v>0.89634664401019537</v>
      </c>
      <c r="F1626" s="22" t="s">
        <v>46</v>
      </c>
      <c r="G1626" s="25" t="s">
        <v>125</v>
      </c>
    </row>
    <row r="1627" spans="1:7">
      <c r="A1627" s="21" t="s">
        <v>1728</v>
      </c>
      <c r="B1627" s="22" t="s">
        <v>56</v>
      </c>
      <c r="C1627" s="22" t="s">
        <v>124</v>
      </c>
      <c r="D1627" s="23">
        <v>1</v>
      </c>
      <c r="E1627" s="24">
        <f>SUM($D$2:D1627)/SUM($D$2:$D$2846)</f>
        <v>0.89643160577740022</v>
      </c>
      <c r="F1627" s="22" t="s">
        <v>46</v>
      </c>
      <c r="G1627" s="25" t="s">
        <v>125</v>
      </c>
    </row>
    <row r="1628" spans="1:7">
      <c r="A1628" s="21" t="s">
        <v>1729</v>
      </c>
      <c r="B1628" s="22" t="s">
        <v>56</v>
      </c>
      <c r="C1628" s="22" t="s">
        <v>124</v>
      </c>
      <c r="D1628" s="23">
        <v>1</v>
      </c>
      <c r="E1628" s="24">
        <f>SUM($D$2:D1628)/SUM($D$2:$D$2846)</f>
        <v>0.89651656754460496</v>
      </c>
      <c r="F1628" s="22" t="s">
        <v>46</v>
      </c>
      <c r="G1628" s="25" t="s">
        <v>125</v>
      </c>
    </row>
    <row r="1629" spans="1:7">
      <c r="A1629" s="21" t="s">
        <v>1730</v>
      </c>
      <c r="B1629" s="22" t="s">
        <v>56</v>
      </c>
      <c r="C1629" s="22" t="s">
        <v>124</v>
      </c>
      <c r="D1629" s="23">
        <v>1</v>
      </c>
      <c r="E1629" s="24">
        <f>SUM($D$2:D1629)/SUM($D$2:$D$2846)</f>
        <v>0.8966015293118097</v>
      </c>
      <c r="F1629" s="22" t="s">
        <v>46</v>
      </c>
      <c r="G1629" s="25" t="s">
        <v>125</v>
      </c>
    </row>
    <row r="1630" spans="1:7">
      <c r="A1630" s="21" t="s">
        <v>1731</v>
      </c>
      <c r="B1630" s="22" t="s">
        <v>44</v>
      </c>
      <c r="C1630" s="22" t="s">
        <v>124</v>
      </c>
      <c r="D1630" s="23">
        <v>1</v>
      </c>
      <c r="E1630" s="24">
        <f>SUM($D$2:D1630)/SUM($D$2:$D$2846)</f>
        <v>0.89668649107901444</v>
      </c>
      <c r="F1630" s="22" t="s">
        <v>53</v>
      </c>
      <c r="G1630" s="25" t="s">
        <v>194</v>
      </c>
    </row>
    <row r="1631" spans="1:7">
      <c r="A1631" s="21" t="s">
        <v>1732</v>
      </c>
      <c r="B1631" s="22" t="s">
        <v>44</v>
      </c>
      <c r="C1631" s="22" t="s">
        <v>124</v>
      </c>
      <c r="D1631" s="23">
        <v>1</v>
      </c>
      <c r="E1631" s="24">
        <f>SUM($D$2:D1631)/SUM($D$2:$D$2846)</f>
        <v>0.89677145284621917</v>
      </c>
      <c r="F1631" s="22" t="s">
        <v>53</v>
      </c>
      <c r="G1631" s="25" t="s">
        <v>194</v>
      </c>
    </row>
    <row r="1632" spans="1:7">
      <c r="A1632" s="21" t="s">
        <v>1733</v>
      </c>
      <c r="B1632" s="22" t="s">
        <v>56</v>
      </c>
      <c r="C1632" s="22" t="s">
        <v>124</v>
      </c>
      <c r="D1632" s="23">
        <v>1</v>
      </c>
      <c r="E1632" s="24">
        <f>SUM($D$2:D1632)/SUM($D$2:$D$2846)</f>
        <v>0.89685641461342391</v>
      </c>
      <c r="F1632" s="22" t="s">
        <v>53</v>
      </c>
      <c r="G1632" s="25" t="s">
        <v>125</v>
      </c>
    </row>
    <row r="1633" spans="1:7">
      <c r="A1633" s="21" t="s">
        <v>1734</v>
      </c>
      <c r="B1633" s="22" t="s">
        <v>56</v>
      </c>
      <c r="C1633" s="22" t="s">
        <v>124</v>
      </c>
      <c r="D1633" s="23">
        <v>1</v>
      </c>
      <c r="E1633" s="24">
        <f>SUM($D$2:D1633)/SUM($D$2:$D$2846)</f>
        <v>0.89694137638062876</v>
      </c>
      <c r="F1633" s="22" t="s">
        <v>53</v>
      </c>
      <c r="G1633" s="25" t="s">
        <v>125</v>
      </c>
    </row>
    <row r="1634" spans="1:7">
      <c r="A1634" s="21" t="s">
        <v>1735</v>
      </c>
      <c r="B1634" s="22" t="s">
        <v>56</v>
      </c>
      <c r="C1634" s="22" t="s">
        <v>124</v>
      </c>
      <c r="D1634" s="23">
        <v>1</v>
      </c>
      <c r="E1634" s="24">
        <f>SUM($D$2:D1634)/SUM($D$2:$D$2846)</f>
        <v>0.8970263381478335</v>
      </c>
      <c r="F1634" s="22" t="s">
        <v>53</v>
      </c>
      <c r="G1634" s="25" t="s">
        <v>125</v>
      </c>
    </row>
    <row r="1635" spans="1:7">
      <c r="A1635" s="21" t="s">
        <v>1736</v>
      </c>
      <c r="B1635" s="22" t="s">
        <v>56</v>
      </c>
      <c r="C1635" s="22" t="s">
        <v>124</v>
      </c>
      <c r="D1635" s="23">
        <v>1</v>
      </c>
      <c r="E1635" s="24">
        <f>SUM($D$2:D1635)/SUM($D$2:$D$2846)</f>
        <v>0.89711129991503824</v>
      </c>
      <c r="F1635" s="22" t="s">
        <v>53</v>
      </c>
      <c r="G1635" s="25" t="s">
        <v>125</v>
      </c>
    </row>
    <row r="1636" spans="1:7">
      <c r="A1636" s="21" t="s">
        <v>1737</v>
      </c>
      <c r="B1636" s="22" t="s">
        <v>56</v>
      </c>
      <c r="C1636" s="22" t="s">
        <v>124</v>
      </c>
      <c r="D1636" s="23">
        <v>1</v>
      </c>
      <c r="E1636" s="24">
        <f>SUM($D$2:D1636)/SUM($D$2:$D$2846)</f>
        <v>0.89719626168224298</v>
      </c>
      <c r="F1636" s="22" t="s">
        <v>53</v>
      </c>
      <c r="G1636" s="25" t="s">
        <v>125</v>
      </c>
    </row>
    <row r="1637" spans="1:7">
      <c r="A1637" s="21" t="s">
        <v>1738</v>
      </c>
      <c r="B1637" s="22" t="s">
        <v>56</v>
      </c>
      <c r="C1637" s="22" t="s">
        <v>124</v>
      </c>
      <c r="D1637" s="23">
        <v>1</v>
      </c>
      <c r="E1637" s="24">
        <f>SUM($D$2:D1637)/SUM($D$2:$D$2846)</f>
        <v>0.89728122344944772</v>
      </c>
      <c r="F1637" s="22" t="s">
        <v>53</v>
      </c>
      <c r="G1637" s="25" t="s">
        <v>125</v>
      </c>
    </row>
    <row r="1638" spans="1:7">
      <c r="A1638" s="21" t="s">
        <v>1739</v>
      </c>
      <c r="B1638" s="22" t="s">
        <v>56</v>
      </c>
      <c r="C1638" s="22" t="s">
        <v>124</v>
      </c>
      <c r="D1638" s="23">
        <v>1</v>
      </c>
      <c r="E1638" s="24">
        <f>SUM($D$2:D1638)/SUM($D$2:$D$2846)</f>
        <v>0.89736618521665246</v>
      </c>
      <c r="F1638" s="22" t="s">
        <v>53</v>
      </c>
      <c r="G1638" s="25" t="s">
        <v>125</v>
      </c>
    </row>
    <row r="1639" spans="1:7">
      <c r="A1639" s="21" t="s">
        <v>1740</v>
      </c>
      <c r="B1639" s="22" t="s">
        <v>56</v>
      </c>
      <c r="C1639" s="22" t="s">
        <v>124</v>
      </c>
      <c r="D1639" s="23">
        <v>1</v>
      </c>
      <c r="E1639" s="24">
        <f>SUM($D$2:D1639)/SUM($D$2:$D$2846)</f>
        <v>0.89745114698385731</v>
      </c>
      <c r="F1639" s="22" t="s">
        <v>53</v>
      </c>
      <c r="G1639" s="25" t="s">
        <v>125</v>
      </c>
    </row>
    <row r="1640" spans="1:7">
      <c r="A1640" s="21" t="s">
        <v>1741</v>
      </c>
      <c r="B1640" s="22" t="s">
        <v>56</v>
      </c>
      <c r="C1640" s="22" t="s">
        <v>124</v>
      </c>
      <c r="D1640" s="23">
        <v>1</v>
      </c>
      <c r="E1640" s="24">
        <f>SUM($D$2:D1640)/SUM($D$2:$D$2846)</f>
        <v>0.89753610875106205</v>
      </c>
      <c r="F1640" s="22" t="s">
        <v>53</v>
      </c>
      <c r="G1640" s="25" t="s">
        <v>125</v>
      </c>
    </row>
    <row r="1641" spans="1:7">
      <c r="A1641" s="21" t="s">
        <v>1742</v>
      </c>
      <c r="B1641" s="22" t="s">
        <v>56</v>
      </c>
      <c r="C1641" s="22" t="s">
        <v>124</v>
      </c>
      <c r="D1641" s="23">
        <v>1</v>
      </c>
      <c r="E1641" s="24">
        <f>SUM($D$2:D1641)/SUM($D$2:$D$2846)</f>
        <v>0.89762107051826678</v>
      </c>
      <c r="F1641" s="22" t="s">
        <v>53</v>
      </c>
      <c r="G1641" s="25" t="s">
        <v>125</v>
      </c>
    </row>
    <row r="1642" spans="1:7">
      <c r="A1642" s="21" t="s">
        <v>1743</v>
      </c>
      <c r="B1642" s="22" t="s">
        <v>56</v>
      </c>
      <c r="C1642" s="22" t="s">
        <v>124</v>
      </c>
      <c r="D1642" s="23">
        <v>1</v>
      </c>
      <c r="E1642" s="24">
        <f>SUM($D$2:D1642)/SUM($D$2:$D$2846)</f>
        <v>0.89770603228547152</v>
      </c>
      <c r="F1642" s="22" t="s">
        <v>53</v>
      </c>
      <c r="G1642" s="25" t="s">
        <v>125</v>
      </c>
    </row>
    <row r="1643" spans="1:7">
      <c r="A1643" s="21" t="s">
        <v>1744</v>
      </c>
      <c r="B1643" s="22" t="s">
        <v>56</v>
      </c>
      <c r="C1643" s="22" t="s">
        <v>124</v>
      </c>
      <c r="D1643" s="23">
        <v>1</v>
      </c>
      <c r="E1643" s="24">
        <f>SUM($D$2:D1643)/SUM($D$2:$D$2846)</f>
        <v>0.89779099405267626</v>
      </c>
      <c r="F1643" s="22" t="s">
        <v>53</v>
      </c>
      <c r="G1643" s="25" t="s">
        <v>125</v>
      </c>
    </row>
    <row r="1644" spans="1:7">
      <c r="A1644" s="21" t="s">
        <v>1745</v>
      </c>
      <c r="B1644" s="22" t="s">
        <v>56</v>
      </c>
      <c r="C1644" s="22" t="s">
        <v>124</v>
      </c>
      <c r="D1644" s="23">
        <v>1</v>
      </c>
      <c r="E1644" s="24">
        <f>SUM($D$2:D1644)/SUM($D$2:$D$2846)</f>
        <v>0.897875955819881</v>
      </c>
      <c r="F1644" s="22" t="s">
        <v>53</v>
      </c>
      <c r="G1644" s="25" t="s">
        <v>125</v>
      </c>
    </row>
    <row r="1645" spans="1:7">
      <c r="A1645" s="21" t="s">
        <v>1746</v>
      </c>
      <c r="B1645" s="22" t="s">
        <v>56</v>
      </c>
      <c r="C1645" s="22" t="s">
        <v>124</v>
      </c>
      <c r="D1645" s="23">
        <v>1</v>
      </c>
      <c r="E1645" s="24">
        <f>SUM($D$2:D1645)/SUM($D$2:$D$2846)</f>
        <v>0.89796091758708585</v>
      </c>
      <c r="F1645" s="22" t="s">
        <v>53</v>
      </c>
      <c r="G1645" s="25" t="s">
        <v>125</v>
      </c>
    </row>
    <row r="1646" spans="1:7">
      <c r="A1646" s="21" t="s">
        <v>1747</v>
      </c>
      <c r="B1646" s="22" t="s">
        <v>56</v>
      </c>
      <c r="C1646" s="22" t="s">
        <v>124</v>
      </c>
      <c r="D1646" s="23">
        <v>1</v>
      </c>
      <c r="E1646" s="24">
        <f>SUM($D$2:D1646)/SUM($D$2:$D$2846)</f>
        <v>0.89804587935429059</v>
      </c>
      <c r="F1646" s="22" t="s">
        <v>53</v>
      </c>
      <c r="G1646" s="25" t="s">
        <v>125</v>
      </c>
    </row>
    <row r="1647" spans="1:7">
      <c r="A1647" s="21" t="s">
        <v>1748</v>
      </c>
      <c r="B1647" s="22" t="s">
        <v>56</v>
      </c>
      <c r="C1647" s="22" t="s">
        <v>124</v>
      </c>
      <c r="D1647" s="23">
        <v>1</v>
      </c>
      <c r="E1647" s="24">
        <f>SUM($D$2:D1647)/SUM($D$2:$D$2846)</f>
        <v>0.89813084112149533</v>
      </c>
      <c r="F1647" s="22" t="s">
        <v>53</v>
      </c>
      <c r="G1647" s="25" t="s">
        <v>125</v>
      </c>
    </row>
    <row r="1648" spans="1:7">
      <c r="A1648" s="21" t="s">
        <v>1749</v>
      </c>
      <c r="B1648" s="22" t="s">
        <v>56</v>
      </c>
      <c r="C1648" s="22" t="s">
        <v>124</v>
      </c>
      <c r="D1648" s="23">
        <v>1</v>
      </c>
      <c r="E1648" s="24">
        <f>SUM($D$2:D1648)/SUM($D$2:$D$2846)</f>
        <v>0.89821580288870007</v>
      </c>
      <c r="F1648" s="22" t="s">
        <v>53</v>
      </c>
      <c r="G1648" s="25" t="s">
        <v>125</v>
      </c>
    </row>
    <row r="1649" spans="1:7">
      <c r="A1649" s="21" t="s">
        <v>1750</v>
      </c>
      <c r="B1649" s="22" t="s">
        <v>56</v>
      </c>
      <c r="C1649" s="22" t="s">
        <v>124</v>
      </c>
      <c r="D1649" s="23">
        <v>1</v>
      </c>
      <c r="E1649" s="24">
        <f>SUM($D$2:D1649)/SUM($D$2:$D$2846)</f>
        <v>0.8983007646559048</v>
      </c>
      <c r="F1649" s="22" t="s">
        <v>53</v>
      </c>
      <c r="G1649" s="25" t="s">
        <v>125</v>
      </c>
    </row>
    <row r="1650" spans="1:7">
      <c r="A1650" s="21" t="s">
        <v>1751</v>
      </c>
      <c r="B1650" s="22" t="s">
        <v>56</v>
      </c>
      <c r="C1650" s="22" t="s">
        <v>124</v>
      </c>
      <c r="D1650" s="23">
        <v>1</v>
      </c>
      <c r="E1650" s="24">
        <f>SUM($D$2:D1650)/SUM($D$2:$D$2846)</f>
        <v>0.89838572642310965</v>
      </c>
      <c r="F1650" s="22" t="s">
        <v>53</v>
      </c>
      <c r="G1650" s="25" t="s">
        <v>125</v>
      </c>
    </row>
    <row r="1651" spans="1:7">
      <c r="A1651" s="21" t="s">
        <v>1752</v>
      </c>
      <c r="B1651" s="22" t="s">
        <v>56</v>
      </c>
      <c r="C1651" s="22" t="s">
        <v>124</v>
      </c>
      <c r="D1651" s="23">
        <v>1</v>
      </c>
      <c r="E1651" s="24">
        <f>SUM($D$2:D1651)/SUM($D$2:$D$2846)</f>
        <v>0.89847068819031439</v>
      </c>
      <c r="F1651" s="22" t="s">
        <v>53</v>
      </c>
      <c r="G1651" s="25" t="s">
        <v>125</v>
      </c>
    </row>
    <row r="1652" spans="1:7">
      <c r="A1652" s="21" t="s">
        <v>1753</v>
      </c>
      <c r="B1652" s="22" t="s">
        <v>44</v>
      </c>
      <c r="C1652" s="22" t="s">
        <v>124</v>
      </c>
      <c r="D1652" s="23">
        <v>1</v>
      </c>
      <c r="E1652" s="24">
        <f>SUM($D$2:D1652)/SUM($D$2:$D$2846)</f>
        <v>0.89855564995751913</v>
      </c>
      <c r="F1652" s="22" t="s">
        <v>53</v>
      </c>
      <c r="G1652" s="25" t="s">
        <v>194</v>
      </c>
    </row>
    <row r="1653" spans="1:7">
      <c r="A1653" s="21" t="s">
        <v>1754</v>
      </c>
      <c r="B1653" s="22" t="s">
        <v>44</v>
      </c>
      <c r="C1653" s="22" t="s">
        <v>124</v>
      </c>
      <c r="D1653" s="23">
        <v>1</v>
      </c>
      <c r="E1653" s="24">
        <f>SUM($D$2:D1653)/SUM($D$2:$D$2846)</f>
        <v>0.89864061172472387</v>
      </c>
      <c r="F1653" s="22" t="s">
        <v>53</v>
      </c>
      <c r="G1653" s="25" t="s">
        <v>194</v>
      </c>
    </row>
    <row r="1654" spans="1:7">
      <c r="A1654" s="21" t="s">
        <v>1755</v>
      </c>
      <c r="B1654" s="22" t="s">
        <v>44</v>
      </c>
      <c r="C1654" s="22" t="s">
        <v>124</v>
      </c>
      <c r="D1654" s="23">
        <v>1</v>
      </c>
      <c r="E1654" s="24">
        <f>SUM($D$2:D1654)/SUM($D$2:$D$2846)</f>
        <v>0.89872557349192861</v>
      </c>
      <c r="F1654" s="22" t="s">
        <v>53</v>
      </c>
      <c r="G1654" s="25" t="s">
        <v>194</v>
      </c>
    </row>
    <row r="1655" spans="1:7">
      <c r="A1655" s="21" t="s">
        <v>1756</v>
      </c>
      <c r="B1655" s="22" t="s">
        <v>44</v>
      </c>
      <c r="C1655" s="22" t="s">
        <v>124</v>
      </c>
      <c r="D1655" s="23">
        <v>1</v>
      </c>
      <c r="E1655" s="24">
        <f>SUM($D$2:D1655)/SUM($D$2:$D$2846)</f>
        <v>0.89881053525913335</v>
      </c>
      <c r="F1655" s="22" t="s">
        <v>53</v>
      </c>
      <c r="G1655" s="25" t="s">
        <v>194</v>
      </c>
    </row>
    <row r="1656" spans="1:7">
      <c r="A1656" s="21" t="s">
        <v>1757</v>
      </c>
      <c r="B1656" s="22" t="s">
        <v>44</v>
      </c>
      <c r="C1656" s="22" t="s">
        <v>124</v>
      </c>
      <c r="D1656" s="23">
        <v>1</v>
      </c>
      <c r="E1656" s="24">
        <f>SUM($D$2:D1656)/SUM($D$2:$D$2846)</f>
        <v>0.8988954970263382</v>
      </c>
      <c r="F1656" s="22" t="s">
        <v>53</v>
      </c>
      <c r="G1656" s="25" t="s">
        <v>194</v>
      </c>
    </row>
    <row r="1657" spans="1:7">
      <c r="A1657" s="21" t="s">
        <v>1758</v>
      </c>
      <c r="B1657" s="22" t="s">
        <v>44</v>
      </c>
      <c r="C1657" s="22" t="s">
        <v>124</v>
      </c>
      <c r="D1657" s="23">
        <v>1</v>
      </c>
      <c r="E1657" s="24">
        <f>SUM($D$2:D1657)/SUM($D$2:$D$2846)</f>
        <v>0.89898045879354294</v>
      </c>
      <c r="F1657" s="22" t="s">
        <v>53</v>
      </c>
      <c r="G1657" s="25" t="s">
        <v>194</v>
      </c>
    </row>
    <row r="1658" spans="1:7">
      <c r="A1658" s="21" t="s">
        <v>1759</v>
      </c>
      <c r="B1658" s="22" t="s">
        <v>44</v>
      </c>
      <c r="C1658" s="22" t="s">
        <v>124</v>
      </c>
      <c r="D1658" s="23">
        <v>1</v>
      </c>
      <c r="E1658" s="24">
        <f>SUM($D$2:D1658)/SUM($D$2:$D$2846)</f>
        <v>0.89906542056074767</v>
      </c>
      <c r="F1658" s="22" t="s">
        <v>53</v>
      </c>
      <c r="G1658" s="25" t="s">
        <v>194</v>
      </c>
    </row>
    <row r="1659" spans="1:7">
      <c r="A1659" s="21" t="s">
        <v>1760</v>
      </c>
      <c r="B1659" s="22" t="s">
        <v>44</v>
      </c>
      <c r="C1659" s="22" t="s">
        <v>124</v>
      </c>
      <c r="D1659" s="23">
        <v>1</v>
      </c>
      <c r="E1659" s="24">
        <f>SUM($D$2:D1659)/SUM($D$2:$D$2846)</f>
        <v>0.89915038232795241</v>
      </c>
      <c r="F1659" s="22" t="s">
        <v>53</v>
      </c>
      <c r="G1659" s="25" t="s">
        <v>194</v>
      </c>
    </row>
    <row r="1660" spans="1:7">
      <c r="A1660" s="21" t="s">
        <v>1761</v>
      </c>
      <c r="B1660" s="22" t="s">
        <v>44</v>
      </c>
      <c r="C1660" s="22" t="s">
        <v>124</v>
      </c>
      <c r="D1660" s="23">
        <v>1</v>
      </c>
      <c r="E1660" s="24">
        <f>SUM($D$2:D1660)/SUM($D$2:$D$2846)</f>
        <v>0.89923534409515715</v>
      </c>
      <c r="F1660" s="22" t="s">
        <v>53</v>
      </c>
      <c r="G1660" s="25" t="s">
        <v>194</v>
      </c>
    </row>
    <row r="1661" spans="1:7">
      <c r="A1661" s="21" t="s">
        <v>1762</v>
      </c>
      <c r="B1661" s="22" t="s">
        <v>44</v>
      </c>
      <c r="C1661" s="22" t="s">
        <v>124</v>
      </c>
      <c r="D1661" s="23">
        <v>1</v>
      </c>
      <c r="E1661" s="24">
        <f>SUM($D$2:D1661)/SUM($D$2:$D$2846)</f>
        <v>0.89932030586236189</v>
      </c>
      <c r="F1661" s="22" t="s">
        <v>53</v>
      </c>
      <c r="G1661" s="25" t="s">
        <v>194</v>
      </c>
    </row>
    <row r="1662" spans="1:7">
      <c r="A1662" s="21" t="s">
        <v>1763</v>
      </c>
      <c r="B1662" s="22" t="s">
        <v>44</v>
      </c>
      <c r="C1662" s="22" t="s">
        <v>124</v>
      </c>
      <c r="D1662" s="23">
        <v>1</v>
      </c>
      <c r="E1662" s="24">
        <f>SUM($D$2:D1662)/SUM($D$2:$D$2846)</f>
        <v>0.89940526762956674</v>
      </c>
      <c r="F1662" s="22" t="s">
        <v>53</v>
      </c>
      <c r="G1662" s="25" t="s">
        <v>194</v>
      </c>
    </row>
    <row r="1663" spans="1:7">
      <c r="A1663" s="21" t="s">
        <v>1764</v>
      </c>
      <c r="B1663" s="22" t="s">
        <v>56</v>
      </c>
      <c r="C1663" s="22" t="s">
        <v>124</v>
      </c>
      <c r="D1663" s="23">
        <v>1</v>
      </c>
      <c r="E1663" s="24">
        <f>SUM($D$2:D1663)/SUM($D$2:$D$2846)</f>
        <v>0.89949022939677148</v>
      </c>
      <c r="F1663" s="22" t="s">
        <v>53</v>
      </c>
      <c r="G1663" s="25" t="s">
        <v>125</v>
      </c>
    </row>
    <row r="1664" spans="1:7">
      <c r="A1664" s="21" t="s">
        <v>1765</v>
      </c>
      <c r="B1664" s="22" t="s">
        <v>56</v>
      </c>
      <c r="C1664" s="22" t="s">
        <v>124</v>
      </c>
      <c r="D1664" s="23">
        <v>1</v>
      </c>
      <c r="E1664" s="24">
        <f>SUM($D$2:D1664)/SUM($D$2:$D$2846)</f>
        <v>0.89957519116397622</v>
      </c>
      <c r="F1664" s="22" t="s">
        <v>53</v>
      </c>
      <c r="G1664" s="25" t="s">
        <v>125</v>
      </c>
    </row>
    <row r="1665" spans="1:7">
      <c r="A1665" s="21" t="s">
        <v>1766</v>
      </c>
      <c r="B1665" s="22" t="s">
        <v>56</v>
      </c>
      <c r="C1665" s="22" t="s">
        <v>124</v>
      </c>
      <c r="D1665" s="23">
        <v>1</v>
      </c>
      <c r="E1665" s="24">
        <f>SUM($D$2:D1665)/SUM($D$2:$D$2846)</f>
        <v>0.89966015293118096</v>
      </c>
      <c r="F1665" s="22" t="s">
        <v>53</v>
      </c>
      <c r="G1665" s="25" t="s">
        <v>125</v>
      </c>
    </row>
    <row r="1666" spans="1:7">
      <c r="A1666" s="21" t="s">
        <v>1767</v>
      </c>
      <c r="B1666" s="22" t="s">
        <v>56</v>
      </c>
      <c r="C1666" s="22" t="s">
        <v>124</v>
      </c>
      <c r="D1666" s="23">
        <v>1</v>
      </c>
      <c r="E1666" s="24">
        <f>SUM($D$2:D1666)/SUM($D$2:$D$2846)</f>
        <v>0.8997451146983857</v>
      </c>
      <c r="F1666" s="22" t="s">
        <v>53</v>
      </c>
      <c r="G1666" s="25" t="s">
        <v>125</v>
      </c>
    </row>
    <row r="1667" spans="1:7">
      <c r="A1667" s="21" t="s">
        <v>1768</v>
      </c>
      <c r="B1667" s="22" t="s">
        <v>56</v>
      </c>
      <c r="C1667" s="22" t="s">
        <v>124</v>
      </c>
      <c r="D1667" s="23">
        <v>1</v>
      </c>
      <c r="E1667" s="24">
        <f>SUM($D$2:D1667)/SUM($D$2:$D$2846)</f>
        <v>0.89983007646559043</v>
      </c>
      <c r="F1667" s="22" t="s">
        <v>53</v>
      </c>
      <c r="G1667" s="25" t="s">
        <v>125</v>
      </c>
    </row>
    <row r="1668" spans="1:7">
      <c r="A1668" s="21" t="s">
        <v>1769</v>
      </c>
      <c r="B1668" s="22" t="s">
        <v>56</v>
      </c>
      <c r="C1668" s="22" t="s">
        <v>124</v>
      </c>
      <c r="D1668" s="23">
        <v>1</v>
      </c>
      <c r="E1668" s="24">
        <f>SUM($D$2:D1668)/SUM($D$2:$D$2846)</f>
        <v>0.89991503823279528</v>
      </c>
      <c r="F1668" s="22" t="s">
        <v>53</v>
      </c>
      <c r="G1668" s="25" t="s">
        <v>125</v>
      </c>
    </row>
    <row r="1669" spans="1:7">
      <c r="A1669" s="21" t="s">
        <v>1770</v>
      </c>
      <c r="B1669" s="22" t="s">
        <v>56</v>
      </c>
      <c r="C1669" s="22" t="s">
        <v>124</v>
      </c>
      <c r="D1669" s="23">
        <v>1</v>
      </c>
      <c r="E1669" s="24">
        <f>SUM($D$2:D1669)/SUM($D$2:$D$2846)</f>
        <v>0.9</v>
      </c>
      <c r="F1669" s="22" t="s">
        <v>53</v>
      </c>
      <c r="G1669" s="25" t="s">
        <v>125</v>
      </c>
    </row>
    <row r="1670" spans="1:7">
      <c r="A1670" s="21" t="s">
        <v>1771</v>
      </c>
      <c r="B1670" s="22" t="s">
        <v>56</v>
      </c>
      <c r="C1670" s="22" t="s">
        <v>124</v>
      </c>
      <c r="D1670" s="23">
        <v>1</v>
      </c>
      <c r="E1670" s="24">
        <f>SUM($D$2:D1670)/SUM($D$2:$D$2846)</f>
        <v>0.90008496176720476</v>
      </c>
      <c r="F1670" s="22" t="s">
        <v>53</v>
      </c>
      <c r="G1670" s="25" t="s">
        <v>125</v>
      </c>
    </row>
    <row r="1671" spans="1:7">
      <c r="A1671" s="21" t="s">
        <v>1772</v>
      </c>
      <c r="B1671" s="22" t="s">
        <v>56</v>
      </c>
      <c r="C1671" s="22" t="s">
        <v>124</v>
      </c>
      <c r="D1671" s="23">
        <v>1</v>
      </c>
      <c r="E1671" s="24">
        <f>SUM($D$2:D1671)/SUM($D$2:$D$2846)</f>
        <v>0.9001699235344095</v>
      </c>
      <c r="F1671" s="22" t="s">
        <v>53</v>
      </c>
      <c r="G1671" s="25" t="s">
        <v>125</v>
      </c>
    </row>
    <row r="1672" spans="1:7">
      <c r="A1672" s="21" t="s">
        <v>1773</v>
      </c>
      <c r="B1672" s="22" t="s">
        <v>56</v>
      </c>
      <c r="C1672" s="22" t="s">
        <v>124</v>
      </c>
      <c r="D1672" s="23">
        <v>1</v>
      </c>
      <c r="E1672" s="24">
        <f>SUM($D$2:D1672)/SUM($D$2:$D$2846)</f>
        <v>0.90025488530161424</v>
      </c>
      <c r="F1672" s="22" t="s">
        <v>53</v>
      </c>
      <c r="G1672" s="25" t="s">
        <v>125</v>
      </c>
    </row>
    <row r="1673" spans="1:7">
      <c r="A1673" s="21" t="s">
        <v>1774</v>
      </c>
      <c r="B1673" s="22" t="s">
        <v>56</v>
      </c>
      <c r="C1673" s="22" t="s">
        <v>124</v>
      </c>
      <c r="D1673" s="23">
        <v>1</v>
      </c>
      <c r="E1673" s="24">
        <f>SUM($D$2:D1673)/SUM($D$2:$D$2846)</f>
        <v>0.90033984706881898</v>
      </c>
      <c r="F1673" s="22" t="s">
        <v>53</v>
      </c>
      <c r="G1673" s="25" t="s">
        <v>125</v>
      </c>
    </row>
    <row r="1674" spans="1:7">
      <c r="A1674" s="21" t="s">
        <v>1775</v>
      </c>
      <c r="B1674" s="22" t="s">
        <v>56</v>
      </c>
      <c r="C1674" s="22" t="s">
        <v>124</v>
      </c>
      <c r="D1674" s="23">
        <v>1</v>
      </c>
      <c r="E1674" s="24">
        <f>SUM($D$2:D1674)/SUM($D$2:$D$2846)</f>
        <v>0.90042480883602383</v>
      </c>
      <c r="F1674" s="22" t="s">
        <v>53</v>
      </c>
      <c r="G1674" s="25" t="s">
        <v>125</v>
      </c>
    </row>
    <row r="1675" spans="1:7">
      <c r="A1675" s="21" t="s">
        <v>1776</v>
      </c>
      <c r="B1675" s="22" t="s">
        <v>56</v>
      </c>
      <c r="C1675" s="22" t="s">
        <v>124</v>
      </c>
      <c r="D1675" s="23">
        <v>1</v>
      </c>
      <c r="E1675" s="24">
        <f>SUM($D$2:D1675)/SUM($D$2:$D$2846)</f>
        <v>0.90050977060322857</v>
      </c>
      <c r="F1675" s="22" t="s">
        <v>53</v>
      </c>
      <c r="G1675" s="25" t="s">
        <v>125</v>
      </c>
    </row>
    <row r="1676" spans="1:7">
      <c r="A1676" s="21" t="s">
        <v>1777</v>
      </c>
      <c r="B1676" s="22" t="s">
        <v>56</v>
      </c>
      <c r="C1676" s="22" t="s">
        <v>124</v>
      </c>
      <c r="D1676" s="23">
        <v>1</v>
      </c>
      <c r="E1676" s="24">
        <f>SUM($D$2:D1676)/SUM($D$2:$D$2846)</f>
        <v>0.9005947323704333</v>
      </c>
      <c r="F1676" s="22" t="s">
        <v>53</v>
      </c>
      <c r="G1676" s="25" t="s">
        <v>125</v>
      </c>
    </row>
    <row r="1677" spans="1:7">
      <c r="A1677" s="21" t="s">
        <v>1778</v>
      </c>
      <c r="B1677" s="22" t="s">
        <v>56</v>
      </c>
      <c r="C1677" s="22" t="s">
        <v>124</v>
      </c>
      <c r="D1677" s="23">
        <v>1</v>
      </c>
      <c r="E1677" s="24">
        <f>SUM($D$2:D1677)/SUM($D$2:$D$2846)</f>
        <v>0.90067969413763804</v>
      </c>
      <c r="F1677" s="22" t="s">
        <v>53</v>
      </c>
      <c r="G1677" s="25" t="s">
        <v>125</v>
      </c>
    </row>
    <row r="1678" spans="1:7">
      <c r="A1678" s="21" t="s">
        <v>1779</v>
      </c>
      <c r="B1678" s="22" t="s">
        <v>56</v>
      </c>
      <c r="C1678" s="22" t="s">
        <v>124</v>
      </c>
      <c r="D1678" s="23">
        <v>1</v>
      </c>
      <c r="E1678" s="24">
        <f>SUM($D$2:D1678)/SUM($D$2:$D$2846)</f>
        <v>0.90076465590484278</v>
      </c>
      <c r="F1678" s="22" t="s">
        <v>53</v>
      </c>
      <c r="G1678" s="25" t="s">
        <v>125</v>
      </c>
    </row>
    <row r="1679" spans="1:7">
      <c r="A1679" s="21" t="s">
        <v>1780</v>
      </c>
      <c r="B1679" s="22" t="s">
        <v>56</v>
      </c>
      <c r="C1679" s="22" t="s">
        <v>124</v>
      </c>
      <c r="D1679" s="23">
        <v>1</v>
      </c>
      <c r="E1679" s="24">
        <f>SUM($D$2:D1679)/SUM($D$2:$D$2846)</f>
        <v>0.90084961767204763</v>
      </c>
      <c r="F1679" s="22" t="s">
        <v>53</v>
      </c>
      <c r="G1679" s="25" t="s">
        <v>125</v>
      </c>
    </row>
    <row r="1680" spans="1:7">
      <c r="A1680" s="21" t="s">
        <v>1781</v>
      </c>
      <c r="B1680" s="22" t="s">
        <v>56</v>
      </c>
      <c r="C1680" s="22" t="s">
        <v>124</v>
      </c>
      <c r="D1680" s="23">
        <v>1</v>
      </c>
      <c r="E1680" s="24">
        <f>SUM($D$2:D1680)/SUM($D$2:$D$2846)</f>
        <v>0.90093457943925237</v>
      </c>
      <c r="F1680" s="22" t="s">
        <v>53</v>
      </c>
      <c r="G1680" s="25" t="s">
        <v>125</v>
      </c>
    </row>
    <row r="1681" spans="1:7">
      <c r="A1681" s="21" t="s">
        <v>1782</v>
      </c>
      <c r="B1681" s="22" t="s">
        <v>56</v>
      </c>
      <c r="C1681" s="22" t="s">
        <v>124</v>
      </c>
      <c r="D1681" s="23">
        <v>1</v>
      </c>
      <c r="E1681" s="24">
        <f>SUM($D$2:D1681)/SUM($D$2:$D$2846)</f>
        <v>0.90101954120645711</v>
      </c>
      <c r="F1681" s="22" t="s">
        <v>53</v>
      </c>
      <c r="G1681" s="25" t="s">
        <v>125</v>
      </c>
    </row>
    <row r="1682" spans="1:7">
      <c r="A1682" s="21" t="s">
        <v>1783</v>
      </c>
      <c r="B1682" s="22" t="s">
        <v>56</v>
      </c>
      <c r="C1682" s="22" t="s">
        <v>124</v>
      </c>
      <c r="D1682" s="23">
        <v>1</v>
      </c>
      <c r="E1682" s="24">
        <f>SUM($D$2:D1682)/SUM($D$2:$D$2846)</f>
        <v>0.90110450297366185</v>
      </c>
      <c r="F1682" s="22" t="s">
        <v>53</v>
      </c>
      <c r="G1682" s="25" t="s">
        <v>125</v>
      </c>
    </row>
    <row r="1683" spans="1:7">
      <c r="A1683" s="21" t="s">
        <v>1784</v>
      </c>
      <c r="B1683" s="22" t="s">
        <v>56</v>
      </c>
      <c r="C1683" s="22" t="s">
        <v>124</v>
      </c>
      <c r="D1683" s="23">
        <v>1</v>
      </c>
      <c r="E1683" s="24">
        <f>SUM($D$2:D1683)/SUM($D$2:$D$2846)</f>
        <v>0.90118946474086659</v>
      </c>
      <c r="F1683" s="22" t="s">
        <v>53</v>
      </c>
      <c r="G1683" s="25" t="s">
        <v>125</v>
      </c>
    </row>
    <row r="1684" spans="1:7">
      <c r="A1684" s="21" t="s">
        <v>1785</v>
      </c>
      <c r="B1684" s="22" t="s">
        <v>56</v>
      </c>
      <c r="C1684" s="22" t="s">
        <v>124</v>
      </c>
      <c r="D1684" s="23">
        <v>1</v>
      </c>
      <c r="E1684" s="24">
        <f>SUM($D$2:D1684)/SUM($D$2:$D$2846)</f>
        <v>0.90127442650807132</v>
      </c>
      <c r="F1684" s="22" t="s">
        <v>53</v>
      </c>
      <c r="G1684" s="25" t="s">
        <v>125</v>
      </c>
    </row>
    <row r="1685" spans="1:7">
      <c r="A1685" s="21" t="s">
        <v>1786</v>
      </c>
      <c r="B1685" s="22" t="s">
        <v>56</v>
      </c>
      <c r="C1685" s="22" t="s">
        <v>124</v>
      </c>
      <c r="D1685" s="23">
        <v>1</v>
      </c>
      <c r="E1685" s="24">
        <f>SUM($D$2:D1685)/SUM($D$2:$D$2846)</f>
        <v>0.90135938827527617</v>
      </c>
      <c r="F1685" s="22" t="s">
        <v>53</v>
      </c>
      <c r="G1685" s="25" t="s">
        <v>125</v>
      </c>
    </row>
    <row r="1686" spans="1:7">
      <c r="A1686" s="21" t="s">
        <v>1787</v>
      </c>
      <c r="B1686" s="22" t="s">
        <v>56</v>
      </c>
      <c r="C1686" s="22" t="s">
        <v>124</v>
      </c>
      <c r="D1686" s="23">
        <v>1</v>
      </c>
      <c r="E1686" s="24">
        <f>SUM($D$2:D1686)/SUM($D$2:$D$2846)</f>
        <v>0.90144435004248091</v>
      </c>
      <c r="F1686" s="22" t="s">
        <v>53</v>
      </c>
      <c r="G1686" s="25" t="s">
        <v>125</v>
      </c>
    </row>
    <row r="1687" spans="1:7">
      <c r="A1687" s="21" t="s">
        <v>1788</v>
      </c>
      <c r="B1687" s="22" t="s">
        <v>56</v>
      </c>
      <c r="C1687" s="22" t="s">
        <v>124</v>
      </c>
      <c r="D1687" s="23">
        <v>1</v>
      </c>
      <c r="E1687" s="24">
        <f>SUM($D$2:D1687)/SUM($D$2:$D$2846)</f>
        <v>0.90152931180968565</v>
      </c>
      <c r="F1687" s="22" t="s">
        <v>53</v>
      </c>
      <c r="G1687" s="25" t="s">
        <v>125</v>
      </c>
    </row>
    <row r="1688" spans="1:7">
      <c r="A1688" s="21" t="s">
        <v>1789</v>
      </c>
      <c r="B1688" s="26" t="s">
        <v>163</v>
      </c>
      <c r="C1688" s="22" t="s">
        <v>45</v>
      </c>
      <c r="D1688" s="23">
        <v>1</v>
      </c>
      <c r="E1688" s="24">
        <f>SUM($D$2:D1688)/SUM($D$2:$D$2846)</f>
        <v>0.90161427357689039</v>
      </c>
      <c r="F1688" s="22" t="s">
        <v>53</v>
      </c>
      <c r="G1688" s="25" t="s">
        <v>164</v>
      </c>
    </row>
    <row r="1689" spans="1:7">
      <c r="A1689" s="21" t="s">
        <v>1790</v>
      </c>
      <c r="B1689" s="26" t="s">
        <v>163</v>
      </c>
      <c r="C1689" s="22" t="s">
        <v>45</v>
      </c>
      <c r="D1689" s="23">
        <v>1</v>
      </c>
      <c r="E1689" s="24">
        <f>SUM($D$2:D1689)/SUM($D$2:$D$2846)</f>
        <v>0.90169923534409513</v>
      </c>
      <c r="F1689" s="22" t="s">
        <v>53</v>
      </c>
      <c r="G1689" s="25" t="s">
        <v>164</v>
      </c>
    </row>
    <row r="1690" spans="1:7">
      <c r="A1690" s="21" t="s">
        <v>1791</v>
      </c>
      <c r="B1690" s="26" t="s">
        <v>163</v>
      </c>
      <c r="C1690" s="22" t="s">
        <v>45</v>
      </c>
      <c r="D1690" s="23">
        <v>1</v>
      </c>
      <c r="E1690" s="24">
        <f>SUM($D$2:D1690)/SUM($D$2:$D$2846)</f>
        <v>0.90178419711129987</v>
      </c>
      <c r="F1690" s="22" t="s">
        <v>53</v>
      </c>
      <c r="G1690" s="25" t="s">
        <v>164</v>
      </c>
    </row>
    <row r="1691" spans="1:7">
      <c r="A1691" s="21" t="s">
        <v>1792</v>
      </c>
      <c r="B1691" s="26" t="s">
        <v>163</v>
      </c>
      <c r="C1691" s="22" t="s">
        <v>45</v>
      </c>
      <c r="D1691" s="23">
        <v>1</v>
      </c>
      <c r="E1691" s="24">
        <f>SUM($D$2:D1691)/SUM($D$2:$D$2846)</f>
        <v>0.90186915887850472</v>
      </c>
      <c r="F1691" s="22" t="s">
        <v>53</v>
      </c>
      <c r="G1691" s="25" t="s">
        <v>164</v>
      </c>
    </row>
    <row r="1692" spans="1:7">
      <c r="A1692" s="21" t="s">
        <v>1793</v>
      </c>
      <c r="B1692" s="22" t="s">
        <v>56</v>
      </c>
      <c r="C1692" s="22" t="s">
        <v>124</v>
      </c>
      <c r="D1692" s="23">
        <v>1</v>
      </c>
      <c r="E1692" s="24">
        <f>SUM($D$2:D1692)/SUM($D$2:$D$2846)</f>
        <v>0.90195412064570946</v>
      </c>
      <c r="F1692" s="22" t="s">
        <v>53</v>
      </c>
      <c r="G1692" s="25" t="s">
        <v>125</v>
      </c>
    </row>
    <row r="1693" spans="1:7">
      <c r="A1693" s="21" t="s">
        <v>1794</v>
      </c>
      <c r="B1693" s="22" t="s">
        <v>56</v>
      </c>
      <c r="C1693" s="22" t="s">
        <v>124</v>
      </c>
      <c r="D1693" s="23">
        <v>1</v>
      </c>
      <c r="E1693" s="24">
        <f>SUM($D$2:D1693)/SUM($D$2:$D$2846)</f>
        <v>0.90203908241291419</v>
      </c>
      <c r="F1693" s="22" t="s">
        <v>53</v>
      </c>
      <c r="G1693" s="25" t="s">
        <v>125</v>
      </c>
    </row>
    <row r="1694" spans="1:7">
      <c r="A1694" s="21" t="s">
        <v>1795</v>
      </c>
      <c r="B1694" s="22" t="s">
        <v>56</v>
      </c>
      <c r="C1694" s="22" t="s">
        <v>124</v>
      </c>
      <c r="D1694" s="23">
        <v>1</v>
      </c>
      <c r="E1694" s="24">
        <f>SUM($D$2:D1694)/SUM($D$2:$D$2846)</f>
        <v>0.90212404418011893</v>
      </c>
      <c r="F1694" s="22" t="s">
        <v>53</v>
      </c>
      <c r="G1694" s="25" t="s">
        <v>125</v>
      </c>
    </row>
    <row r="1695" spans="1:7">
      <c r="A1695" s="21" t="s">
        <v>1796</v>
      </c>
      <c r="B1695" s="22" t="s">
        <v>56</v>
      </c>
      <c r="C1695" s="22" t="s">
        <v>124</v>
      </c>
      <c r="D1695" s="23">
        <v>1</v>
      </c>
      <c r="E1695" s="24">
        <f>SUM($D$2:D1695)/SUM($D$2:$D$2846)</f>
        <v>0.90220900594732367</v>
      </c>
      <c r="F1695" s="22" t="s">
        <v>53</v>
      </c>
      <c r="G1695" s="25" t="s">
        <v>125</v>
      </c>
    </row>
    <row r="1696" spans="1:7">
      <c r="A1696" s="21" t="s">
        <v>1797</v>
      </c>
      <c r="B1696" s="26" t="s">
        <v>163</v>
      </c>
      <c r="C1696" s="22" t="s">
        <v>45</v>
      </c>
      <c r="D1696" s="23">
        <v>1</v>
      </c>
      <c r="E1696" s="24">
        <f>SUM($D$2:D1696)/SUM($D$2:$D$2846)</f>
        <v>0.90229396771452841</v>
      </c>
      <c r="F1696" s="22" t="s">
        <v>53</v>
      </c>
      <c r="G1696" s="25" t="s">
        <v>164</v>
      </c>
    </row>
    <row r="1697" spans="1:7">
      <c r="A1697" s="21" t="s">
        <v>1798</v>
      </c>
      <c r="B1697" s="22" t="s">
        <v>56</v>
      </c>
      <c r="C1697" s="22" t="s">
        <v>124</v>
      </c>
      <c r="D1697" s="23">
        <v>1</v>
      </c>
      <c r="E1697" s="24">
        <f>SUM($D$2:D1697)/SUM($D$2:$D$2846)</f>
        <v>0.90237892948173326</v>
      </c>
      <c r="F1697" s="22" t="s">
        <v>53</v>
      </c>
      <c r="G1697" s="25" t="s">
        <v>125</v>
      </c>
    </row>
    <row r="1698" spans="1:7">
      <c r="A1698" s="21" t="s">
        <v>1799</v>
      </c>
      <c r="B1698" s="22" t="s">
        <v>56</v>
      </c>
      <c r="C1698" s="22" t="s">
        <v>124</v>
      </c>
      <c r="D1698" s="23">
        <v>1</v>
      </c>
      <c r="E1698" s="24">
        <f>SUM($D$2:D1698)/SUM($D$2:$D$2846)</f>
        <v>0.902463891248938</v>
      </c>
      <c r="F1698" s="22" t="s">
        <v>53</v>
      </c>
      <c r="G1698" s="25" t="s">
        <v>125</v>
      </c>
    </row>
    <row r="1699" spans="1:7">
      <c r="A1699" s="21" t="s">
        <v>1800</v>
      </c>
      <c r="B1699" s="22" t="s">
        <v>56</v>
      </c>
      <c r="C1699" s="22" t="s">
        <v>124</v>
      </c>
      <c r="D1699" s="23">
        <v>1</v>
      </c>
      <c r="E1699" s="24">
        <f>SUM($D$2:D1699)/SUM($D$2:$D$2846)</f>
        <v>0.90254885301614274</v>
      </c>
      <c r="F1699" s="22" t="s">
        <v>53</v>
      </c>
      <c r="G1699" s="25" t="s">
        <v>125</v>
      </c>
    </row>
    <row r="1700" spans="1:7">
      <c r="A1700" s="21" t="s">
        <v>1801</v>
      </c>
      <c r="B1700" s="22" t="s">
        <v>44</v>
      </c>
      <c r="C1700" s="22" t="s">
        <v>124</v>
      </c>
      <c r="D1700" s="23">
        <v>1</v>
      </c>
      <c r="E1700" s="24">
        <f>SUM($D$2:D1700)/SUM($D$2:$D$2846)</f>
        <v>0.90263381478334748</v>
      </c>
      <c r="F1700" s="22" t="s">
        <v>53</v>
      </c>
      <c r="G1700" s="25" t="s">
        <v>194</v>
      </c>
    </row>
    <row r="1701" spans="1:7">
      <c r="A1701" s="21" t="s">
        <v>1802</v>
      </c>
      <c r="B1701" s="22" t="s">
        <v>56</v>
      </c>
      <c r="C1701" s="22" t="s">
        <v>124</v>
      </c>
      <c r="D1701" s="23">
        <v>1</v>
      </c>
      <c r="E1701" s="24">
        <f>SUM($D$2:D1701)/SUM($D$2:$D$2846)</f>
        <v>0.90271877655055222</v>
      </c>
      <c r="F1701" s="22" t="s">
        <v>53</v>
      </c>
      <c r="G1701" s="25" t="s">
        <v>125</v>
      </c>
    </row>
    <row r="1702" spans="1:7">
      <c r="A1702" s="21" t="s">
        <v>1803</v>
      </c>
      <c r="B1702" s="22" t="s">
        <v>56</v>
      </c>
      <c r="C1702" s="22" t="s">
        <v>124</v>
      </c>
      <c r="D1702" s="23">
        <v>1</v>
      </c>
      <c r="E1702" s="24">
        <f>SUM($D$2:D1702)/SUM($D$2:$D$2846)</f>
        <v>0.90280373831775695</v>
      </c>
      <c r="F1702" s="22" t="s">
        <v>53</v>
      </c>
      <c r="G1702" s="25" t="s">
        <v>125</v>
      </c>
    </row>
    <row r="1703" spans="1:7">
      <c r="A1703" s="21" t="s">
        <v>1804</v>
      </c>
      <c r="B1703" s="22" t="s">
        <v>56</v>
      </c>
      <c r="C1703" s="22" t="s">
        <v>124</v>
      </c>
      <c r="D1703" s="23">
        <v>1</v>
      </c>
      <c r="E1703" s="24">
        <f>SUM($D$2:D1703)/SUM($D$2:$D$2846)</f>
        <v>0.9028887000849618</v>
      </c>
      <c r="F1703" s="22" t="s">
        <v>53</v>
      </c>
      <c r="G1703" s="25" t="s">
        <v>125</v>
      </c>
    </row>
    <row r="1704" spans="1:7">
      <c r="A1704" s="21" t="s">
        <v>1805</v>
      </c>
      <c r="B1704" s="22" t="s">
        <v>56</v>
      </c>
      <c r="C1704" s="22" t="s">
        <v>124</v>
      </c>
      <c r="D1704" s="23">
        <v>1</v>
      </c>
      <c r="E1704" s="24">
        <f>SUM($D$2:D1704)/SUM($D$2:$D$2846)</f>
        <v>0.90297366185216654</v>
      </c>
      <c r="F1704" s="22" t="s">
        <v>53</v>
      </c>
      <c r="G1704" s="25" t="s">
        <v>125</v>
      </c>
    </row>
    <row r="1705" spans="1:7">
      <c r="A1705" s="21" t="s">
        <v>1806</v>
      </c>
      <c r="B1705" s="22" t="s">
        <v>56</v>
      </c>
      <c r="C1705" s="22" t="s">
        <v>124</v>
      </c>
      <c r="D1705" s="23">
        <v>1</v>
      </c>
      <c r="E1705" s="24">
        <f>SUM($D$2:D1705)/SUM($D$2:$D$2846)</f>
        <v>0.90305862361937128</v>
      </c>
      <c r="F1705" s="22" t="s">
        <v>53</v>
      </c>
      <c r="G1705" s="25" t="s">
        <v>125</v>
      </c>
    </row>
    <row r="1706" spans="1:7">
      <c r="A1706" s="21" t="s">
        <v>1807</v>
      </c>
      <c r="B1706" s="22" t="s">
        <v>56</v>
      </c>
      <c r="C1706" s="22" t="s">
        <v>124</v>
      </c>
      <c r="D1706" s="23">
        <v>1</v>
      </c>
      <c r="E1706" s="24">
        <f>SUM($D$2:D1706)/SUM($D$2:$D$2846)</f>
        <v>0.90314358538657602</v>
      </c>
      <c r="F1706" s="22" t="s">
        <v>53</v>
      </c>
      <c r="G1706" s="25" t="s">
        <v>125</v>
      </c>
    </row>
    <row r="1707" spans="1:7">
      <c r="A1707" s="21" t="s">
        <v>1808</v>
      </c>
      <c r="B1707" s="22" t="s">
        <v>56</v>
      </c>
      <c r="C1707" s="22" t="s">
        <v>124</v>
      </c>
      <c r="D1707" s="23">
        <v>1</v>
      </c>
      <c r="E1707" s="24">
        <f>SUM($D$2:D1707)/SUM($D$2:$D$2846)</f>
        <v>0.90322854715378076</v>
      </c>
      <c r="F1707" s="22" t="s">
        <v>53</v>
      </c>
      <c r="G1707" s="25" t="s">
        <v>125</v>
      </c>
    </row>
    <row r="1708" spans="1:7">
      <c r="A1708" s="21" t="s">
        <v>1809</v>
      </c>
      <c r="B1708" s="26" t="s">
        <v>163</v>
      </c>
      <c r="C1708" s="22" t="s">
        <v>45</v>
      </c>
      <c r="D1708" s="23">
        <v>1</v>
      </c>
      <c r="E1708" s="24">
        <f>SUM($D$2:D1708)/SUM($D$2:$D$2846)</f>
        <v>0.90331350892098561</v>
      </c>
      <c r="F1708" s="22" t="s">
        <v>53</v>
      </c>
      <c r="G1708" s="25" t="s">
        <v>164</v>
      </c>
    </row>
    <row r="1709" spans="1:7">
      <c r="A1709" s="21" t="s">
        <v>1810</v>
      </c>
      <c r="B1709" s="22" t="s">
        <v>56</v>
      </c>
      <c r="C1709" s="22" t="s">
        <v>124</v>
      </c>
      <c r="D1709" s="23">
        <v>1</v>
      </c>
      <c r="E1709" s="24">
        <f>SUM($D$2:D1709)/SUM($D$2:$D$2846)</f>
        <v>0.90339847068819035</v>
      </c>
      <c r="F1709" s="22" t="s">
        <v>53</v>
      </c>
      <c r="G1709" s="25" t="s">
        <v>125</v>
      </c>
    </row>
    <row r="1710" spans="1:7">
      <c r="A1710" s="21" t="s">
        <v>1811</v>
      </c>
      <c r="B1710" s="22" t="s">
        <v>56</v>
      </c>
      <c r="C1710" s="22" t="s">
        <v>124</v>
      </c>
      <c r="D1710" s="23">
        <v>1</v>
      </c>
      <c r="E1710" s="24">
        <f>SUM($D$2:D1710)/SUM($D$2:$D$2846)</f>
        <v>0.90348343245539509</v>
      </c>
      <c r="F1710" s="22" t="s">
        <v>53</v>
      </c>
      <c r="G1710" s="25" t="s">
        <v>125</v>
      </c>
    </row>
    <row r="1711" spans="1:7">
      <c r="A1711" s="21" t="s">
        <v>1812</v>
      </c>
      <c r="B1711" s="22" t="s">
        <v>56</v>
      </c>
      <c r="C1711" s="22" t="s">
        <v>124</v>
      </c>
      <c r="D1711" s="23">
        <v>1</v>
      </c>
      <c r="E1711" s="24">
        <f>SUM($D$2:D1711)/SUM($D$2:$D$2846)</f>
        <v>0.90356839422259982</v>
      </c>
      <c r="F1711" s="22" t="s">
        <v>53</v>
      </c>
      <c r="G1711" s="25" t="s">
        <v>125</v>
      </c>
    </row>
    <row r="1712" spans="1:7">
      <c r="A1712" s="21" t="s">
        <v>1813</v>
      </c>
      <c r="B1712" s="22" t="s">
        <v>56</v>
      </c>
      <c r="C1712" s="22" t="s">
        <v>124</v>
      </c>
      <c r="D1712" s="23">
        <v>1</v>
      </c>
      <c r="E1712" s="24">
        <f>SUM($D$2:D1712)/SUM($D$2:$D$2846)</f>
        <v>0.90365335598980456</v>
      </c>
      <c r="F1712" s="22" t="s">
        <v>53</v>
      </c>
      <c r="G1712" s="25" t="s">
        <v>125</v>
      </c>
    </row>
    <row r="1713" spans="1:7">
      <c r="A1713" s="21" t="s">
        <v>1814</v>
      </c>
      <c r="B1713" s="22" t="s">
        <v>56</v>
      </c>
      <c r="C1713" s="22" t="s">
        <v>124</v>
      </c>
      <c r="D1713" s="23">
        <v>1</v>
      </c>
      <c r="E1713" s="24">
        <f>SUM($D$2:D1713)/SUM($D$2:$D$2846)</f>
        <v>0.9037383177570093</v>
      </c>
      <c r="F1713" s="22" t="s">
        <v>53</v>
      </c>
      <c r="G1713" s="25" t="s">
        <v>125</v>
      </c>
    </row>
    <row r="1714" spans="1:7">
      <c r="A1714" s="21" t="s">
        <v>1815</v>
      </c>
      <c r="B1714" s="22" t="s">
        <v>56</v>
      </c>
      <c r="C1714" s="22" t="s">
        <v>124</v>
      </c>
      <c r="D1714" s="23">
        <v>1</v>
      </c>
      <c r="E1714" s="24">
        <f>SUM($D$2:D1714)/SUM($D$2:$D$2846)</f>
        <v>0.90382327952421415</v>
      </c>
      <c r="F1714" s="22" t="s">
        <v>53</v>
      </c>
      <c r="G1714" s="25" t="s">
        <v>125</v>
      </c>
    </row>
    <row r="1715" spans="1:7">
      <c r="A1715" s="21" t="s">
        <v>1816</v>
      </c>
      <c r="B1715" s="22" t="s">
        <v>56</v>
      </c>
      <c r="C1715" s="22" t="s">
        <v>124</v>
      </c>
      <c r="D1715" s="23">
        <v>1</v>
      </c>
      <c r="E1715" s="24">
        <f>SUM($D$2:D1715)/SUM($D$2:$D$2846)</f>
        <v>0.90390824129141889</v>
      </c>
      <c r="F1715" s="22" t="s">
        <v>53</v>
      </c>
      <c r="G1715" s="25" t="s">
        <v>125</v>
      </c>
    </row>
    <row r="1716" spans="1:7">
      <c r="A1716" s="21" t="s">
        <v>1817</v>
      </c>
      <c r="B1716" s="22" t="s">
        <v>56</v>
      </c>
      <c r="C1716" s="22" t="s">
        <v>124</v>
      </c>
      <c r="D1716" s="23">
        <v>1</v>
      </c>
      <c r="E1716" s="24">
        <f>SUM($D$2:D1716)/SUM($D$2:$D$2846)</f>
        <v>0.90399320305862363</v>
      </c>
      <c r="F1716" s="22" t="s">
        <v>53</v>
      </c>
      <c r="G1716" s="25" t="s">
        <v>125</v>
      </c>
    </row>
    <row r="1717" spans="1:7">
      <c r="A1717" s="21" t="s">
        <v>1818</v>
      </c>
      <c r="B1717" s="22" t="s">
        <v>56</v>
      </c>
      <c r="C1717" s="22" t="s">
        <v>124</v>
      </c>
      <c r="D1717" s="23">
        <v>1</v>
      </c>
      <c r="E1717" s="24">
        <f>SUM($D$2:D1717)/SUM($D$2:$D$2846)</f>
        <v>0.90407816482582837</v>
      </c>
      <c r="F1717" s="22" t="s">
        <v>53</v>
      </c>
      <c r="G1717" s="25" t="s">
        <v>125</v>
      </c>
    </row>
    <row r="1718" spans="1:7">
      <c r="A1718" s="21" t="s">
        <v>1819</v>
      </c>
      <c r="B1718" s="22" t="s">
        <v>56</v>
      </c>
      <c r="C1718" s="22" t="s">
        <v>124</v>
      </c>
      <c r="D1718" s="23">
        <v>1</v>
      </c>
      <c r="E1718" s="24">
        <f>SUM($D$2:D1718)/SUM($D$2:$D$2846)</f>
        <v>0.90416312659303311</v>
      </c>
      <c r="F1718" s="22" t="s">
        <v>53</v>
      </c>
      <c r="G1718" s="25" t="s">
        <v>125</v>
      </c>
    </row>
    <row r="1719" spans="1:7">
      <c r="A1719" s="21" t="s">
        <v>1820</v>
      </c>
      <c r="B1719" s="26" t="s">
        <v>163</v>
      </c>
      <c r="C1719" s="22" t="s">
        <v>45</v>
      </c>
      <c r="D1719" s="23">
        <v>1</v>
      </c>
      <c r="E1719" s="24">
        <f>SUM($D$2:D1719)/SUM($D$2:$D$2846)</f>
        <v>0.90424808836023784</v>
      </c>
      <c r="F1719" s="22" t="s">
        <v>53</v>
      </c>
      <c r="G1719" s="25" t="s">
        <v>164</v>
      </c>
    </row>
    <row r="1720" spans="1:7">
      <c r="A1720" s="21" t="s">
        <v>1821</v>
      </c>
      <c r="B1720" s="22" t="s">
        <v>56</v>
      </c>
      <c r="C1720" s="22" t="s">
        <v>124</v>
      </c>
      <c r="D1720" s="23">
        <v>1</v>
      </c>
      <c r="E1720" s="24">
        <f>SUM($D$2:D1720)/SUM($D$2:$D$2846)</f>
        <v>0.90433305012744269</v>
      </c>
      <c r="F1720" s="22" t="s">
        <v>53</v>
      </c>
      <c r="G1720" s="25" t="s">
        <v>125</v>
      </c>
    </row>
    <row r="1721" spans="1:7">
      <c r="A1721" s="21" t="s">
        <v>1822</v>
      </c>
      <c r="B1721" s="22" t="s">
        <v>56</v>
      </c>
      <c r="C1721" s="22" t="s">
        <v>124</v>
      </c>
      <c r="D1721" s="23">
        <v>1</v>
      </c>
      <c r="E1721" s="24">
        <f>SUM($D$2:D1721)/SUM($D$2:$D$2846)</f>
        <v>0.90441801189464743</v>
      </c>
      <c r="F1721" s="22" t="s">
        <v>53</v>
      </c>
      <c r="G1721" s="25" t="s">
        <v>125</v>
      </c>
    </row>
    <row r="1722" spans="1:7">
      <c r="A1722" s="21" t="s">
        <v>1823</v>
      </c>
      <c r="B1722" s="22" t="s">
        <v>56</v>
      </c>
      <c r="C1722" s="22" t="s">
        <v>124</v>
      </c>
      <c r="D1722" s="23">
        <v>1</v>
      </c>
      <c r="E1722" s="24">
        <f>SUM($D$2:D1722)/SUM($D$2:$D$2846)</f>
        <v>0.90450297366185217</v>
      </c>
      <c r="F1722" s="22" t="s">
        <v>53</v>
      </c>
      <c r="G1722" s="25" t="s">
        <v>125</v>
      </c>
    </row>
    <row r="1723" spans="1:7">
      <c r="A1723" s="21" t="s">
        <v>1824</v>
      </c>
      <c r="B1723" s="22" t="s">
        <v>56</v>
      </c>
      <c r="C1723" s="22" t="s">
        <v>124</v>
      </c>
      <c r="D1723" s="23">
        <v>1</v>
      </c>
      <c r="E1723" s="24">
        <f>SUM($D$2:D1723)/SUM($D$2:$D$2846)</f>
        <v>0.90458793542905691</v>
      </c>
      <c r="F1723" s="22" t="s">
        <v>53</v>
      </c>
      <c r="G1723" s="25" t="s">
        <v>125</v>
      </c>
    </row>
    <row r="1724" spans="1:7">
      <c r="A1724" s="21" t="s">
        <v>1825</v>
      </c>
      <c r="B1724" s="22" t="s">
        <v>56</v>
      </c>
      <c r="C1724" s="22" t="s">
        <v>124</v>
      </c>
      <c r="D1724" s="23">
        <v>1</v>
      </c>
      <c r="E1724" s="24">
        <f>SUM($D$2:D1724)/SUM($D$2:$D$2846)</f>
        <v>0.90467289719626165</v>
      </c>
      <c r="F1724" s="22" t="s">
        <v>53</v>
      </c>
      <c r="G1724" s="25" t="s">
        <v>125</v>
      </c>
    </row>
    <row r="1725" spans="1:7">
      <c r="A1725" s="21" t="s">
        <v>1826</v>
      </c>
      <c r="B1725" s="22" t="s">
        <v>56</v>
      </c>
      <c r="C1725" s="22" t="s">
        <v>124</v>
      </c>
      <c r="D1725" s="23">
        <v>1</v>
      </c>
      <c r="E1725" s="24">
        <f>SUM($D$2:D1725)/SUM($D$2:$D$2846)</f>
        <v>0.90475785896346639</v>
      </c>
      <c r="F1725" s="22" t="s">
        <v>53</v>
      </c>
      <c r="G1725" s="25" t="s">
        <v>125</v>
      </c>
    </row>
    <row r="1726" spans="1:7">
      <c r="A1726" s="21" t="s">
        <v>1827</v>
      </c>
      <c r="B1726" s="22" t="s">
        <v>56</v>
      </c>
      <c r="C1726" s="22" t="s">
        <v>124</v>
      </c>
      <c r="D1726" s="23">
        <v>1</v>
      </c>
      <c r="E1726" s="24">
        <f>SUM($D$2:D1726)/SUM($D$2:$D$2846)</f>
        <v>0.90484282073067124</v>
      </c>
      <c r="F1726" s="22" t="s">
        <v>53</v>
      </c>
      <c r="G1726" s="25" t="s">
        <v>125</v>
      </c>
    </row>
    <row r="1727" spans="1:7">
      <c r="A1727" s="21" t="s">
        <v>1828</v>
      </c>
      <c r="B1727" s="22" t="s">
        <v>56</v>
      </c>
      <c r="C1727" s="22" t="s">
        <v>124</v>
      </c>
      <c r="D1727" s="23">
        <v>1</v>
      </c>
      <c r="E1727" s="24">
        <f>SUM($D$2:D1727)/SUM($D$2:$D$2846)</f>
        <v>0.90492778249787598</v>
      </c>
      <c r="F1727" s="22" t="s">
        <v>53</v>
      </c>
      <c r="G1727" s="25" t="s">
        <v>125</v>
      </c>
    </row>
    <row r="1728" spans="1:7">
      <c r="A1728" s="21" t="s">
        <v>1829</v>
      </c>
      <c r="B1728" s="22" t="s">
        <v>56</v>
      </c>
      <c r="C1728" s="22" t="s">
        <v>124</v>
      </c>
      <c r="D1728" s="23">
        <v>1</v>
      </c>
      <c r="E1728" s="24">
        <f>SUM($D$2:D1728)/SUM($D$2:$D$2846)</f>
        <v>0.90501274426508072</v>
      </c>
      <c r="F1728" s="22" t="s">
        <v>53</v>
      </c>
      <c r="G1728" s="25" t="s">
        <v>125</v>
      </c>
    </row>
    <row r="1729" spans="1:7">
      <c r="A1729" s="21" t="s">
        <v>1830</v>
      </c>
      <c r="B1729" s="22" t="s">
        <v>56</v>
      </c>
      <c r="C1729" s="22" t="s">
        <v>124</v>
      </c>
      <c r="D1729" s="23">
        <v>1</v>
      </c>
      <c r="E1729" s="24">
        <f>SUM($D$2:D1729)/SUM($D$2:$D$2846)</f>
        <v>0.90509770603228545</v>
      </c>
      <c r="F1729" s="22" t="s">
        <v>53</v>
      </c>
      <c r="G1729" s="25" t="s">
        <v>125</v>
      </c>
    </row>
    <row r="1730" spans="1:7">
      <c r="A1730" s="21" t="s">
        <v>1831</v>
      </c>
      <c r="B1730" s="22" t="s">
        <v>56</v>
      </c>
      <c r="C1730" s="22" t="s">
        <v>124</v>
      </c>
      <c r="D1730" s="23">
        <v>1</v>
      </c>
      <c r="E1730" s="24">
        <f>SUM($D$2:D1730)/SUM($D$2:$D$2846)</f>
        <v>0.90518266779949019</v>
      </c>
      <c r="F1730" s="22" t="s">
        <v>53</v>
      </c>
      <c r="G1730" s="25" t="s">
        <v>125</v>
      </c>
    </row>
    <row r="1731" spans="1:7">
      <c r="A1731" s="21" t="s">
        <v>1832</v>
      </c>
      <c r="B1731" s="26" t="s">
        <v>163</v>
      </c>
      <c r="C1731" s="22" t="s">
        <v>45</v>
      </c>
      <c r="D1731" s="23">
        <v>1</v>
      </c>
      <c r="E1731" s="24">
        <f>SUM($D$2:D1731)/SUM($D$2:$D$2846)</f>
        <v>0.90526762956669504</v>
      </c>
      <c r="F1731" s="22" t="s">
        <v>53</v>
      </c>
      <c r="G1731" s="25" t="s">
        <v>164</v>
      </c>
    </row>
    <row r="1732" spans="1:7">
      <c r="A1732" s="21" t="s">
        <v>1833</v>
      </c>
      <c r="B1732" s="26" t="s">
        <v>163</v>
      </c>
      <c r="C1732" s="22" t="s">
        <v>45</v>
      </c>
      <c r="D1732" s="23">
        <v>1</v>
      </c>
      <c r="E1732" s="24">
        <f>SUM($D$2:D1732)/SUM($D$2:$D$2846)</f>
        <v>0.90535259133389978</v>
      </c>
      <c r="F1732" s="22" t="s">
        <v>53</v>
      </c>
      <c r="G1732" s="25" t="s">
        <v>164</v>
      </c>
    </row>
    <row r="1733" spans="1:7">
      <c r="A1733" s="21" t="s">
        <v>1834</v>
      </c>
      <c r="B1733" s="26" t="s">
        <v>163</v>
      </c>
      <c r="C1733" s="22" t="s">
        <v>45</v>
      </c>
      <c r="D1733" s="23">
        <v>1</v>
      </c>
      <c r="E1733" s="24">
        <f>SUM($D$2:D1733)/SUM($D$2:$D$2846)</f>
        <v>0.90543755310110452</v>
      </c>
      <c r="F1733" s="22" t="s">
        <v>53</v>
      </c>
      <c r="G1733" s="25" t="s">
        <v>164</v>
      </c>
    </row>
    <row r="1734" spans="1:7">
      <c r="A1734" s="21" t="s">
        <v>1835</v>
      </c>
      <c r="B1734" s="26" t="s">
        <v>163</v>
      </c>
      <c r="C1734" s="22" t="s">
        <v>45</v>
      </c>
      <c r="D1734" s="23">
        <v>1</v>
      </c>
      <c r="E1734" s="24">
        <f>SUM($D$2:D1734)/SUM($D$2:$D$2846)</f>
        <v>0.90552251486830926</v>
      </c>
      <c r="F1734" s="22" t="s">
        <v>53</v>
      </c>
      <c r="G1734" s="25" t="s">
        <v>164</v>
      </c>
    </row>
    <row r="1735" spans="1:7">
      <c r="A1735" s="21" t="s">
        <v>1836</v>
      </c>
      <c r="B1735" s="22" t="s">
        <v>56</v>
      </c>
      <c r="C1735" s="22" t="s">
        <v>124</v>
      </c>
      <c r="D1735" s="23">
        <v>1</v>
      </c>
      <c r="E1735" s="24">
        <f>SUM($D$2:D1735)/SUM($D$2:$D$2846)</f>
        <v>0.905607476635514</v>
      </c>
      <c r="F1735" s="22" t="s">
        <v>53</v>
      </c>
      <c r="G1735" s="25" t="s">
        <v>125</v>
      </c>
    </row>
    <row r="1736" spans="1:7">
      <c r="A1736" s="21" t="s">
        <v>1837</v>
      </c>
      <c r="B1736" s="22" t="s">
        <v>56</v>
      </c>
      <c r="C1736" s="22" t="s">
        <v>124</v>
      </c>
      <c r="D1736" s="23">
        <v>1</v>
      </c>
      <c r="E1736" s="24">
        <f>SUM($D$2:D1736)/SUM($D$2:$D$2846)</f>
        <v>0.90569243840271874</v>
      </c>
      <c r="F1736" s="22" t="s">
        <v>53</v>
      </c>
      <c r="G1736" s="25" t="s">
        <v>125</v>
      </c>
    </row>
    <row r="1737" spans="1:7">
      <c r="A1737" s="21" t="s">
        <v>1838</v>
      </c>
      <c r="B1737" s="22" t="s">
        <v>56</v>
      </c>
      <c r="C1737" s="22" t="s">
        <v>124</v>
      </c>
      <c r="D1737" s="23">
        <v>1</v>
      </c>
      <c r="E1737" s="24">
        <f>SUM($D$2:D1737)/SUM($D$2:$D$2846)</f>
        <v>0.90577740016992359</v>
      </c>
      <c r="F1737" s="22" t="s">
        <v>53</v>
      </c>
      <c r="G1737" s="25" t="s">
        <v>125</v>
      </c>
    </row>
    <row r="1738" spans="1:7">
      <c r="A1738" s="21" t="s">
        <v>1839</v>
      </c>
      <c r="B1738" s="26" t="s">
        <v>163</v>
      </c>
      <c r="C1738" s="22" t="s">
        <v>45</v>
      </c>
      <c r="D1738" s="23">
        <v>1</v>
      </c>
      <c r="E1738" s="24">
        <f>SUM($D$2:D1738)/SUM($D$2:$D$2846)</f>
        <v>0.90586236193712832</v>
      </c>
      <c r="F1738" s="22" t="s">
        <v>53</v>
      </c>
      <c r="G1738" s="25" t="s">
        <v>164</v>
      </c>
    </row>
    <row r="1739" spans="1:7">
      <c r="A1739" s="21" t="s">
        <v>1840</v>
      </c>
      <c r="B1739" s="26" t="s">
        <v>163</v>
      </c>
      <c r="C1739" s="22" t="s">
        <v>45</v>
      </c>
      <c r="D1739" s="23">
        <v>1</v>
      </c>
      <c r="E1739" s="24">
        <f>SUM($D$2:D1739)/SUM($D$2:$D$2846)</f>
        <v>0.90594732370433306</v>
      </c>
      <c r="F1739" s="22" t="s">
        <v>53</v>
      </c>
      <c r="G1739" s="25" t="s">
        <v>164</v>
      </c>
    </row>
    <row r="1740" spans="1:7">
      <c r="A1740" s="21" t="s">
        <v>1841</v>
      </c>
      <c r="B1740" s="22" t="s">
        <v>56</v>
      </c>
      <c r="C1740" s="22" t="s">
        <v>124</v>
      </c>
      <c r="D1740" s="23">
        <v>1</v>
      </c>
      <c r="E1740" s="24">
        <f>SUM($D$2:D1740)/SUM($D$2:$D$2846)</f>
        <v>0.9060322854715378</v>
      </c>
      <c r="F1740" s="22" t="s">
        <v>53</v>
      </c>
      <c r="G1740" s="25" t="s">
        <v>125</v>
      </c>
    </row>
    <row r="1741" spans="1:7">
      <c r="A1741" s="21" t="s">
        <v>1842</v>
      </c>
      <c r="B1741" s="22" t="s">
        <v>56</v>
      </c>
      <c r="C1741" s="22" t="s">
        <v>124</v>
      </c>
      <c r="D1741" s="23">
        <v>1</v>
      </c>
      <c r="E1741" s="24">
        <f>SUM($D$2:D1741)/SUM($D$2:$D$2846)</f>
        <v>0.90611724723874254</v>
      </c>
      <c r="F1741" s="22" t="s">
        <v>53</v>
      </c>
      <c r="G1741" s="25" t="s">
        <v>125</v>
      </c>
    </row>
    <row r="1742" spans="1:7">
      <c r="A1742" s="21" t="s">
        <v>1843</v>
      </c>
      <c r="B1742" s="22" t="s">
        <v>56</v>
      </c>
      <c r="C1742" s="22" t="s">
        <v>124</v>
      </c>
      <c r="D1742" s="23">
        <v>1</v>
      </c>
      <c r="E1742" s="24">
        <f>SUM($D$2:D1742)/SUM($D$2:$D$2846)</f>
        <v>0.90620220900594728</v>
      </c>
      <c r="F1742" s="22" t="s">
        <v>53</v>
      </c>
      <c r="G1742" s="25" t="s">
        <v>125</v>
      </c>
    </row>
    <row r="1743" spans="1:7">
      <c r="A1743" s="21" t="s">
        <v>1844</v>
      </c>
      <c r="B1743" s="22" t="s">
        <v>56</v>
      </c>
      <c r="C1743" s="22" t="s">
        <v>124</v>
      </c>
      <c r="D1743" s="23">
        <v>1</v>
      </c>
      <c r="E1743" s="24">
        <f>SUM($D$2:D1743)/SUM($D$2:$D$2846)</f>
        <v>0.90628717077315213</v>
      </c>
      <c r="F1743" s="22" t="s">
        <v>53</v>
      </c>
      <c r="G1743" s="25" t="s">
        <v>125</v>
      </c>
    </row>
    <row r="1744" spans="1:7">
      <c r="A1744" s="21" t="s">
        <v>1845</v>
      </c>
      <c r="B1744" s="22" t="s">
        <v>56</v>
      </c>
      <c r="C1744" s="22" t="s">
        <v>124</v>
      </c>
      <c r="D1744" s="23">
        <v>1</v>
      </c>
      <c r="E1744" s="24">
        <f>SUM($D$2:D1744)/SUM($D$2:$D$2846)</f>
        <v>0.90637213254035687</v>
      </c>
      <c r="F1744" s="22" t="s">
        <v>53</v>
      </c>
      <c r="G1744" s="25" t="s">
        <v>125</v>
      </c>
    </row>
    <row r="1745" spans="1:7">
      <c r="A1745" s="21" t="s">
        <v>1846</v>
      </c>
      <c r="B1745" s="22" t="s">
        <v>56</v>
      </c>
      <c r="C1745" s="22" t="s">
        <v>124</v>
      </c>
      <c r="D1745" s="23">
        <v>1</v>
      </c>
      <c r="E1745" s="24">
        <f>SUM($D$2:D1745)/SUM($D$2:$D$2846)</f>
        <v>0.90645709430756161</v>
      </c>
      <c r="F1745" s="22" t="s">
        <v>53</v>
      </c>
      <c r="G1745" s="25" t="s">
        <v>125</v>
      </c>
    </row>
    <row r="1746" spans="1:7">
      <c r="A1746" s="21" t="s">
        <v>1847</v>
      </c>
      <c r="B1746" s="22" t="s">
        <v>56</v>
      </c>
      <c r="C1746" s="22" t="s">
        <v>124</v>
      </c>
      <c r="D1746" s="23">
        <v>1</v>
      </c>
      <c r="E1746" s="24">
        <f>SUM($D$2:D1746)/SUM($D$2:$D$2846)</f>
        <v>0.90654205607476634</v>
      </c>
      <c r="F1746" s="22" t="s">
        <v>53</v>
      </c>
      <c r="G1746" s="25" t="s">
        <v>125</v>
      </c>
    </row>
    <row r="1747" spans="1:7">
      <c r="A1747" s="21" t="s">
        <v>1848</v>
      </c>
      <c r="B1747" s="22" t="s">
        <v>56</v>
      </c>
      <c r="C1747" s="22" t="s">
        <v>124</v>
      </c>
      <c r="D1747" s="23">
        <v>1</v>
      </c>
      <c r="E1747" s="24">
        <f>SUM($D$2:D1747)/SUM($D$2:$D$2846)</f>
        <v>0.90662701784197108</v>
      </c>
      <c r="F1747" s="22" t="s">
        <v>53</v>
      </c>
      <c r="G1747" s="25" t="s">
        <v>125</v>
      </c>
    </row>
    <row r="1748" spans="1:7">
      <c r="A1748" s="21" t="s">
        <v>1849</v>
      </c>
      <c r="B1748" s="22" t="s">
        <v>56</v>
      </c>
      <c r="C1748" s="22" t="s">
        <v>124</v>
      </c>
      <c r="D1748" s="23">
        <v>1</v>
      </c>
      <c r="E1748" s="24">
        <f>SUM($D$2:D1748)/SUM($D$2:$D$2846)</f>
        <v>0.90671197960917582</v>
      </c>
      <c r="F1748" s="22" t="s">
        <v>53</v>
      </c>
      <c r="G1748" s="25" t="s">
        <v>125</v>
      </c>
    </row>
    <row r="1749" spans="1:7">
      <c r="A1749" s="21" t="s">
        <v>1850</v>
      </c>
      <c r="B1749" s="22" t="s">
        <v>56</v>
      </c>
      <c r="C1749" s="22" t="s">
        <v>124</v>
      </c>
      <c r="D1749" s="23">
        <v>1</v>
      </c>
      <c r="E1749" s="24">
        <f>SUM($D$2:D1749)/SUM($D$2:$D$2846)</f>
        <v>0.90679694137638067</v>
      </c>
      <c r="F1749" s="22" t="s">
        <v>53</v>
      </c>
      <c r="G1749" s="25" t="s">
        <v>125</v>
      </c>
    </row>
    <row r="1750" spans="1:7">
      <c r="A1750" s="21" t="s">
        <v>1851</v>
      </c>
      <c r="B1750" s="22" t="s">
        <v>56</v>
      </c>
      <c r="C1750" s="22" t="s">
        <v>124</v>
      </c>
      <c r="D1750" s="23">
        <v>1</v>
      </c>
      <c r="E1750" s="24">
        <f>SUM($D$2:D1750)/SUM($D$2:$D$2846)</f>
        <v>0.90688190314358541</v>
      </c>
      <c r="F1750" s="22" t="s">
        <v>53</v>
      </c>
      <c r="G1750" s="25" t="s">
        <v>125</v>
      </c>
    </row>
    <row r="1751" spans="1:7">
      <c r="A1751" s="21" t="s">
        <v>1852</v>
      </c>
      <c r="B1751" s="22" t="s">
        <v>56</v>
      </c>
      <c r="C1751" s="22" t="s">
        <v>124</v>
      </c>
      <c r="D1751" s="23">
        <v>1</v>
      </c>
      <c r="E1751" s="24">
        <f>SUM($D$2:D1751)/SUM($D$2:$D$2846)</f>
        <v>0.90696686491079015</v>
      </c>
      <c r="F1751" s="22" t="s">
        <v>53</v>
      </c>
      <c r="G1751" s="25" t="s">
        <v>125</v>
      </c>
    </row>
    <row r="1752" spans="1:7">
      <c r="A1752" s="21" t="s">
        <v>1853</v>
      </c>
      <c r="B1752" s="22" t="s">
        <v>56</v>
      </c>
      <c r="C1752" s="22" t="s">
        <v>124</v>
      </c>
      <c r="D1752" s="23">
        <v>1</v>
      </c>
      <c r="E1752" s="24">
        <f>SUM($D$2:D1752)/SUM($D$2:$D$2846)</f>
        <v>0.90705182667799489</v>
      </c>
      <c r="F1752" s="22" t="s">
        <v>53</v>
      </c>
      <c r="G1752" s="25" t="s">
        <v>125</v>
      </c>
    </row>
    <row r="1753" spans="1:7">
      <c r="A1753" s="21" t="s">
        <v>1854</v>
      </c>
      <c r="B1753" s="22" t="s">
        <v>56</v>
      </c>
      <c r="C1753" s="22" t="s">
        <v>124</v>
      </c>
      <c r="D1753" s="23">
        <v>1</v>
      </c>
      <c r="E1753" s="24">
        <f>SUM($D$2:D1753)/SUM($D$2:$D$2846)</f>
        <v>0.90713678844519963</v>
      </c>
      <c r="F1753" s="22" t="s">
        <v>53</v>
      </c>
      <c r="G1753" s="25" t="s">
        <v>125</v>
      </c>
    </row>
    <row r="1754" spans="1:7">
      <c r="A1754" s="21" t="s">
        <v>1855</v>
      </c>
      <c r="B1754" s="22" t="s">
        <v>56</v>
      </c>
      <c r="C1754" s="22" t="s">
        <v>124</v>
      </c>
      <c r="D1754" s="23">
        <v>1</v>
      </c>
      <c r="E1754" s="24">
        <f>SUM($D$2:D1754)/SUM($D$2:$D$2846)</f>
        <v>0.90722175021240437</v>
      </c>
      <c r="F1754" s="22" t="s">
        <v>53</v>
      </c>
      <c r="G1754" s="25" t="s">
        <v>125</v>
      </c>
    </row>
    <row r="1755" spans="1:7">
      <c r="A1755" s="21" t="s">
        <v>1856</v>
      </c>
      <c r="B1755" s="26" t="s">
        <v>163</v>
      </c>
      <c r="C1755" s="22" t="s">
        <v>45</v>
      </c>
      <c r="D1755" s="23">
        <v>1</v>
      </c>
      <c r="E1755" s="24">
        <f>SUM($D$2:D1755)/SUM($D$2:$D$2846)</f>
        <v>0.90730671197960922</v>
      </c>
      <c r="F1755" s="22" t="s">
        <v>53</v>
      </c>
      <c r="G1755" s="25" t="s">
        <v>164</v>
      </c>
    </row>
    <row r="1756" spans="1:7">
      <c r="A1756" s="21" t="s">
        <v>1857</v>
      </c>
      <c r="B1756" s="22" t="s">
        <v>56</v>
      </c>
      <c r="C1756" s="22" t="s">
        <v>124</v>
      </c>
      <c r="D1756" s="23">
        <v>1</v>
      </c>
      <c r="E1756" s="24">
        <f>SUM($D$2:D1756)/SUM($D$2:$D$2846)</f>
        <v>0.90739167374681395</v>
      </c>
      <c r="F1756" s="22" t="s">
        <v>53</v>
      </c>
      <c r="G1756" s="25" t="s">
        <v>125</v>
      </c>
    </row>
    <row r="1757" spans="1:7">
      <c r="A1757" s="21" t="s">
        <v>1858</v>
      </c>
      <c r="B1757" s="22" t="s">
        <v>56</v>
      </c>
      <c r="C1757" s="22" t="s">
        <v>124</v>
      </c>
      <c r="D1757" s="23">
        <v>1</v>
      </c>
      <c r="E1757" s="24">
        <f>SUM($D$2:D1757)/SUM($D$2:$D$2846)</f>
        <v>0.90747663551401869</v>
      </c>
      <c r="F1757" s="22" t="s">
        <v>53</v>
      </c>
      <c r="G1757" s="25" t="s">
        <v>125</v>
      </c>
    </row>
    <row r="1758" spans="1:7">
      <c r="A1758" s="21" t="s">
        <v>1859</v>
      </c>
      <c r="B1758" s="22" t="s">
        <v>56</v>
      </c>
      <c r="C1758" s="22" t="s">
        <v>124</v>
      </c>
      <c r="D1758" s="23">
        <v>1</v>
      </c>
      <c r="E1758" s="24">
        <f>SUM($D$2:D1758)/SUM($D$2:$D$2846)</f>
        <v>0.90756159728122343</v>
      </c>
      <c r="F1758" s="22" t="s">
        <v>53</v>
      </c>
      <c r="G1758" s="25" t="s">
        <v>125</v>
      </c>
    </row>
    <row r="1759" spans="1:7">
      <c r="A1759" s="21" t="s">
        <v>1860</v>
      </c>
      <c r="B1759" s="22" t="s">
        <v>56</v>
      </c>
      <c r="C1759" s="22" t="s">
        <v>124</v>
      </c>
      <c r="D1759" s="23">
        <v>1</v>
      </c>
      <c r="E1759" s="24">
        <f>SUM($D$2:D1759)/SUM($D$2:$D$2846)</f>
        <v>0.90764655904842817</v>
      </c>
      <c r="F1759" s="22" t="s">
        <v>53</v>
      </c>
      <c r="G1759" s="25" t="s">
        <v>125</v>
      </c>
    </row>
    <row r="1760" spans="1:7">
      <c r="A1760" s="21" t="s">
        <v>1861</v>
      </c>
      <c r="B1760" s="22" t="s">
        <v>56</v>
      </c>
      <c r="C1760" s="22" t="s">
        <v>124</v>
      </c>
      <c r="D1760" s="23">
        <v>1</v>
      </c>
      <c r="E1760" s="24">
        <f>SUM($D$2:D1760)/SUM($D$2:$D$2846)</f>
        <v>0.90773152081563302</v>
      </c>
      <c r="F1760" s="22" t="s">
        <v>53</v>
      </c>
      <c r="G1760" s="25" t="s">
        <v>125</v>
      </c>
    </row>
    <row r="1761" spans="1:7">
      <c r="A1761" s="21" t="s">
        <v>1862</v>
      </c>
      <c r="B1761" s="26" t="s">
        <v>163</v>
      </c>
      <c r="C1761" s="22" t="s">
        <v>45</v>
      </c>
      <c r="D1761" s="23">
        <v>1</v>
      </c>
      <c r="E1761" s="24">
        <f>SUM($D$2:D1761)/SUM($D$2:$D$2846)</f>
        <v>0.90781648258283776</v>
      </c>
      <c r="F1761" s="22" t="s">
        <v>53</v>
      </c>
      <c r="G1761" s="25" t="s">
        <v>164</v>
      </c>
    </row>
    <row r="1762" spans="1:7">
      <c r="A1762" s="21" t="s">
        <v>1863</v>
      </c>
      <c r="B1762" s="22" t="s">
        <v>56</v>
      </c>
      <c r="C1762" s="22" t="s">
        <v>124</v>
      </c>
      <c r="D1762" s="23">
        <v>1</v>
      </c>
      <c r="E1762" s="24">
        <f>SUM($D$2:D1762)/SUM($D$2:$D$2846)</f>
        <v>0.9079014443500425</v>
      </c>
      <c r="F1762" s="22" t="s">
        <v>53</v>
      </c>
      <c r="G1762" s="25" t="s">
        <v>125</v>
      </c>
    </row>
    <row r="1763" spans="1:7">
      <c r="A1763" s="21" t="s">
        <v>1864</v>
      </c>
      <c r="B1763" s="22" t="s">
        <v>56</v>
      </c>
      <c r="C1763" s="22" t="s">
        <v>124</v>
      </c>
      <c r="D1763" s="23">
        <v>1</v>
      </c>
      <c r="E1763" s="24">
        <f>SUM($D$2:D1763)/SUM($D$2:$D$2846)</f>
        <v>0.90798640611724724</v>
      </c>
      <c r="F1763" s="22" t="s">
        <v>53</v>
      </c>
      <c r="G1763" s="25" t="s">
        <v>125</v>
      </c>
    </row>
    <row r="1764" spans="1:7">
      <c r="A1764" s="21" t="s">
        <v>1865</v>
      </c>
      <c r="B1764" s="22" t="s">
        <v>56</v>
      </c>
      <c r="C1764" s="22" t="s">
        <v>124</v>
      </c>
      <c r="D1764" s="23">
        <v>1</v>
      </c>
      <c r="E1764" s="24">
        <f>SUM($D$2:D1764)/SUM($D$2:$D$2846)</f>
        <v>0.90807136788445197</v>
      </c>
      <c r="F1764" s="22" t="s">
        <v>53</v>
      </c>
      <c r="G1764" s="25" t="s">
        <v>125</v>
      </c>
    </row>
    <row r="1765" spans="1:7">
      <c r="A1765" s="21" t="s">
        <v>1866</v>
      </c>
      <c r="B1765" s="22" t="s">
        <v>56</v>
      </c>
      <c r="C1765" s="22" t="s">
        <v>124</v>
      </c>
      <c r="D1765" s="23">
        <v>1</v>
      </c>
      <c r="E1765" s="24">
        <f>SUM($D$2:D1765)/SUM($D$2:$D$2846)</f>
        <v>0.90815632965165671</v>
      </c>
      <c r="F1765" s="22" t="s">
        <v>53</v>
      </c>
      <c r="G1765" s="25" t="s">
        <v>125</v>
      </c>
    </row>
    <row r="1766" spans="1:7">
      <c r="A1766" s="21" t="s">
        <v>1867</v>
      </c>
      <c r="B1766" s="22" t="s">
        <v>56</v>
      </c>
      <c r="C1766" s="22" t="s">
        <v>124</v>
      </c>
      <c r="D1766" s="23">
        <v>1</v>
      </c>
      <c r="E1766" s="24">
        <f>SUM($D$2:D1766)/SUM($D$2:$D$2846)</f>
        <v>0.90824129141886156</v>
      </c>
      <c r="F1766" s="22" t="s">
        <v>53</v>
      </c>
      <c r="G1766" s="25" t="s">
        <v>125</v>
      </c>
    </row>
    <row r="1767" spans="1:7">
      <c r="A1767" s="21" t="s">
        <v>1868</v>
      </c>
      <c r="B1767" s="26" t="s">
        <v>163</v>
      </c>
      <c r="C1767" s="22" t="s">
        <v>45</v>
      </c>
      <c r="D1767" s="23">
        <v>1</v>
      </c>
      <c r="E1767" s="24">
        <f>SUM($D$2:D1767)/SUM($D$2:$D$2846)</f>
        <v>0.9083262531860663</v>
      </c>
      <c r="F1767" s="22" t="s">
        <v>53</v>
      </c>
      <c r="G1767" s="25" t="s">
        <v>164</v>
      </c>
    </row>
    <row r="1768" spans="1:7">
      <c r="A1768" s="21" t="s">
        <v>1869</v>
      </c>
      <c r="B1768" s="26" t="s">
        <v>163</v>
      </c>
      <c r="C1768" s="22" t="s">
        <v>45</v>
      </c>
      <c r="D1768" s="23">
        <v>1</v>
      </c>
      <c r="E1768" s="24">
        <f>SUM($D$2:D1768)/SUM($D$2:$D$2846)</f>
        <v>0.90841121495327104</v>
      </c>
      <c r="F1768" s="22" t="s">
        <v>53</v>
      </c>
      <c r="G1768" s="25" t="s">
        <v>164</v>
      </c>
    </row>
    <row r="1769" spans="1:7">
      <c r="A1769" s="21" t="s">
        <v>1870</v>
      </c>
      <c r="B1769" s="26" t="s">
        <v>163</v>
      </c>
      <c r="C1769" s="22" t="s">
        <v>45</v>
      </c>
      <c r="D1769" s="23">
        <v>1</v>
      </c>
      <c r="E1769" s="24">
        <f>SUM($D$2:D1769)/SUM($D$2:$D$2846)</f>
        <v>0.90849617672047578</v>
      </c>
      <c r="F1769" s="22" t="s">
        <v>53</v>
      </c>
      <c r="G1769" s="25" t="s">
        <v>164</v>
      </c>
    </row>
    <row r="1770" spans="1:7">
      <c r="A1770" s="21" t="s">
        <v>1871</v>
      </c>
      <c r="B1770" s="26" t="s">
        <v>163</v>
      </c>
      <c r="C1770" s="22" t="s">
        <v>45</v>
      </c>
      <c r="D1770" s="23">
        <v>1</v>
      </c>
      <c r="E1770" s="24">
        <f>SUM($D$2:D1770)/SUM($D$2:$D$2846)</f>
        <v>0.90858113848768052</v>
      </c>
      <c r="F1770" s="22" t="s">
        <v>53</v>
      </c>
      <c r="G1770" s="25" t="s">
        <v>164</v>
      </c>
    </row>
    <row r="1771" spans="1:7">
      <c r="A1771" s="21" t="s">
        <v>1872</v>
      </c>
      <c r="B1771" s="22" t="s">
        <v>56</v>
      </c>
      <c r="C1771" s="22" t="s">
        <v>124</v>
      </c>
      <c r="D1771" s="23">
        <v>1</v>
      </c>
      <c r="E1771" s="24">
        <f>SUM($D$2:D1771)/SUM($D$2:$D$2846)</f>
        <v>0.90866610025488526</v>
      </c>
      <c r="F1771" s="22" t="s">
        <v>53</v>
      </c>
      <c r="G1771" s="25" t="s">
        <v>125</v>
      </c>
    </row>
    <row r="1772" spans="1:7">
      <c r="A1772" s="21" t="s">
        <v>1873</v>
      </c>
      <c r="B1772" s="22" t="s">
        <v>56</v>
      </c>
      <c r="C1772" s="22" t="s">
        <v>124</v>
      </c>
      <c r="D1772" s="23">
        <v>1</v>
      </c>
      <c r="E1772" s="24">
        <f>SUM($D$2:D1772)/SUM($D$2:$D$2846)</f>
        <v>0.90875106202209011</v>
      </c>
      <c r="F1772" s="22" t="s">
        <v>53</v>
      </c>
      <c r="G1772" s="25" t="s">
        <v>125</v>
      </c>
    </row>
    <row r="1773" spans="1:7">
      <c r="A1773" s="21" t="s">
        <v>1874</v>
      </c>
      <c r="B1773" s="22" t="s">
        <v>56</v>
      </c>
      <c r="C1773" s="22" t="s">
        <v>124</v>
      </c>
      <c r="D1773" s="23">
        <v>1</v>
      </c>
      <c r="E1773" s="24">
        <f>SUM($D$2:D1773)/SUM($D$2:$D$2846)</f>
        <v>0.90883602378929484</v>
      </c>
      <c r="F1773" s="22" t="s">
        <v>53</v>
      </c>
      <c r="G1773" s="25" t="s">
        <v>125</v>
      </c>
    </row>
    <row r="1774" spans="1:7">
      <c r="A1774" s="21" t="s">
        <v>1875</v>
      </c>
      <c r="B1774" s="26" t="s">
        <v>163</v>
      </c>
      <c r="C1774" s="22" t="s">
        <v>45</v>
      </c>
      <c r="D1774" s="23">
        <v>1</v>
      </c>
      <c r="E1774" s="24">
        <f>SUM($D$2:D1774)/SUM($D$2:$D$2846)</f>
        <v>0.90892098555649958</v>
      </c>
      <c r="F1774" s="22" t="s">
        <v>53</v>
      </c>
      <c r="G1774" s="25" t="s">
        <v>164</v>
      </c>
    </row>
    <row r="1775" spans="1:7">
      <c r="A1775" s="21" t="s">
        <v>1876</v>
      </c>
      <c r="B1775" s="22" t="s">
        <v>56</v>
      </c>
      <c r="C1775" s="22" t="s">
        <v>124</v>
      </c>
      <c r="D1775" s="23">
        <v>1</v>
      </c>
      <c r="E1775" s="24">
        <f>SUM($D$2:D1775)/SUM($D$2:$D$2846)</f>
        <v>0.90900594732370432</v>
      </c>
      <c r="F1775" s="22" t="s">
        <v>53</v>
      </c>
      <c r="G1775" s="25" t="s">
        <v>125</v>
      </c>
    </row>
    <row r="1776" spans="1:7">
      <c r="A1776" s="21" t="s">
        <v>91</v>
      </c>
      <c r="B1776" s="26" t="s">
        <v>44</v>
      </c>
      <c r="C1776" s="22" t="s">
        <v>45</v>
      </c>
      <c r="D1776" s="23">
        <v>1</v>
      </c>
      <c r="E1776" s="24">
        <f>SUM($D$2:D1776)/SUM($D$2:$D$2846)</f>
        <v>0.90909090909090906</v>
      </c>
      <c r="F1776" s="22" t="s">
        <v>53</v>
      </c>
      <c r="G1776" s="25" t="s">
        <v>47</v>
      </c>
    </row>
    <row r="1777" spans="1:7">
      <c r="A1777" s="21" t="s">
        <v>1877</v>
      </c>
      <c r="B1777" s="22" t="s">
        <v>56</v>
      </c>
      <c r="C1777" s="22" t="s">
        <v>124</v>
      </c>
      <c r="D1777" s="23">
        <v>1</v>
      </c>
      <c r="E1777" s="24">
        <f>SUM($D$2:D1777)/SUM($D$2:$D$2846)</f>
        <v>0.9091758708581138</v>
      </c>
      <c r="F1777" s="22" t="s">
        <v>53</v>
      </c>
      <c r="G1777" s="25" t="s">
        <v>125</v>
      </c>
    </row>
    <row r="1778" spans="1:7">
      <c r="A1778" s="21" t="s">
        <v>1878</v>
      </c>
      <c r="B1778" s="22" t="s">
        <v>56</v>
      </c>
      <c r="C1778" s="22" t="s">
        <v>124</v>
      </c>
      <c r="D1778" s="23">
        <v>1</v>
      </c>
      <c r="E1778" s="24">
        <f>SUM($D$2:D1778)/SUM($D$2:$D$2846)</f>
        <v>0.90926083262531865</v>
      </c>
      <c r="F1778" s="22" t="s">
        <v>53</v>
      </c>
      <c r="G1778" s="25" t="s">
        <v>125</v>
      </c>
    </row>
    <row r="1779" spans="1:7">
      <c r="A1779" s="21" t="s">
        <v>1879</v>
      </c>
      <c r="B1779" s="22" t="s">
        <v>56</v>
      </c>
      <c r="C1779" s="22" t="s">
        <v>124</v>
      </c>
      <c r="D1779" s="23">
        <v>1</v>
      </c>
      <c r="E1779" s="24">
        <f>SUM($D$2:D1779)/SUM($D$2:$D$2846)</f>
        <v>0.90934579439252339</v>
      </c>
      <c r="F1779" s="22" t="s">
        <v>53</v>
      </c>
      <c r="G1779" s="25" t="s">
        <v>125</v>
      </c>
    </row>
    <row r="1780" spans="1:7">
      <c r="A1780" s="21" t="s">
        <v>1880</v>
      </c>
      <c r="B1780" s="22" t="s">
        <v>56</v>
      </c>
      <c r="C1780" s="22" t="s">
        <v>124</v>
      </c>
      <c r="D1780" s="23">
        <v>1</v>
      </c>
      <c r="E1780" s="24">
        <f>SUM($D$2:D1780)/SUM($D$2:$D$2846)</f>
        <v>0.90943075615972813</v>
      </c>
      <c r="F1780" s="22" t="s">
        <v>53</v>
      </c>
      <c r="G1780" s="25" t="s">
        <v>125</v>
      </c>
    </row>
    <row r="1781" spans="1:7">
      <c r="A1781" s="21" t="s">
        <v>1881</v>
      </c>
      <c r="B1781" s="22" t="s">
        <v>56</v>
      </c>
      <c r="C1781" s="22" t="s">
        <v>124</v>
      </c>
      <c r="D1781" s="23">
        <v>1</v>
      </c>
      <c r="E1781" s="24">
        <f>SUM($D$2:D1781)/SUM($D$2:$D$2846)</f>
        <v>0.90951571792693287</v>
      </c>
      <c r="F1781" s="22" t="s">
        <v>53</v>
      </c>
      <c r="G1781" s="25" t="s">
        <v>125</v>
      </c>
    </row>
    <row r="1782" spans="1:7">
      <c r="A1782" s="21" t="s">
        <v>1882</v>
      </c>
      <c r="B1782" s="22" t="s">
        <v>56</v>
      </c>
      <c r="C1782" s="22" t="s">
        <v>124</v>
      </c>
      <c r="D1782" s="23">
        <v>1</v>
      </c>
      <c r="E1782" s="24">
        <f>SUM($D$2:D1782)/SUM($D$2:$D$2846)</f>
        <v>0.9096006796941376</v>
      </c>
      <c r="F1782" s="22" t="s">
        <v>53</v>
      </c>
      <c r="G1782" s="25" t="s">
        <v>125</v>
      </c>
    </row>
    <row r="1783" spans="1:7">
      <c r="A1783" s="21" t="s">
        <v>1883</v>
      </c>
      <c r="B1783" s="22" t="s">
        <v>56</v>
      </c>
      <c r="C1783" s="22" t="s">
        <v>124</v>
      </c>
      <c r="D1783" s="23">
        <v>1</v>
      </c>
      <c r="E1783" s="24">
        <f>SUM($D$2:D1783)/SUM($D$2:$D$2846)</f>
        <v>0.90968564146134234</v>
      </c>
      <c r="F1783" s="22" t="s">
        <v>53</v>
      </c>
      <c r="G1783" s="25" t="s">
        <v>125</v>
      </c>
    </row>
    <row r="1784" spans="1:7">
      <c r="A1784" s="21" t="s">
        <v>1884</v>
      </c>
      <c r="B1784" s="22" t="s">
        <v>56</v>
      </c>
      <c r="C1784" s="22" t="s">
        <v>124</v>
      </c>
      <c r="D1784" s="23">
        <v>1</v>
      </c>
      <c r="E1784" s="24">
        <f>SUM($D$2:D1784)/SUM($D$2:$D$2846)</f>
        <v>0.90977060322854719</v>
      </c>
      <c r="F1784" s="22" t="s">
        <v>53</v>
      </c>
      <c r="G1784" s="25" t="s">
        <v>125</v>
      </c>
    </row>
    <row r="1785" spans="1:7">
      <c r="A1785" s="21" t="s">
        <v>1885</v>
      </c>
      <c r="B1785" s="26" t="s">
        <v>163</v>
      </c>
      <c r="C1785" s="22" t="s">
        <v>45</v>
      </c>
      <c r="D1785" s="23">
        <v>1</v>
      </c>
      <c r="E1785" s="24">
        <f>SUM($D$2:D1785)/SUM($D$2:$D$2846)</f>
        <v>0.90985556499575193</v>
      </c>
      <c r="F1785" s="22" t="s">
        <v>53</v>
      </c>
      <c r="G1785" s="25" t="s">
        <v>164</v>
      </c>
    </row>
    <row r="1786" spans="1:7">
      <c r="A1786" s="21" t="s">
        <v>1886</v>
      </c>
      <c r="B1786" s="26" t="s">
        <v>163</v>
      </c>
      <c r="C1786" s="22" t="s">
        <v>45</v>
      </c>
      <c r="D1786" s="23">
        <v>1</v>
      </c>
      <c r="E1786" s="24">
        <f>SUM($D$2:D1786)/SUM($D$2:$D$2846)</f>
        <v>0.90994052676295667</v>
      </c>
      <c r="F1786" s="22" t="s">
        <v>53</v>
      </c>
      <c r="G1786" s="25" t="s">
        <v>164</v>
      </c>
    </row>
    <row r="1787" spans="1:7">
      <c r="A1787" s="21" t="s">
        <v>1887</v>
      </c>
      <c r="B1787" s="26" t="s">
        <v>163</v>
      </c>
      <c r="C1787" s="22" t="s">
        <v>45</v>
      </c>
      <c r="D1787" s="23">
        <v>1</v>
      </c>
      <c r="E1787" s="24">
        <f>SUM($D$2:D1787)/SUM($D$2:$D$2846)</f>
        <v>0.91002548853016141</v>
      </c>
      <c r="F1787" s="22" t="s">
        <v>53</v>
      </c>
      <c r="G1787" s="25" t="s">
        <v>164</v>
      </c>
    </row>
    <row r="1788" spans="1:7">
      <c r="A1788" s="21" t="s">
        <v>1888</v>
      </c>
      <c r="B1788" s="26" t="s">
        <v>163</v>
      </c>
      <c r="C1788" s="22" t="s">
        <v>45</v>
      </c>
      <c r="D1788" s="23">
        <v>1</v>
      </c>
      <c r="E1788" s="24">
        <f>SUM($D$2:D1788)/SUM($D$2:$D$2846)</f>
        <v>0.91011045029736615</v>
      </c>
      <c r="F1788" s="22" t="s">
        <v>53</v>
      </c>
      <c r="G1788" s="25" t="s">
        <v>164</v>
      </c>
    </row>
    <row r="1789" spans="1:7">
      <c r="A1789" s="21" t="s">
        <v>1889</v>
      </c>
      <c r="B1789" s="26" t="s">
        <v>163</v>
      </c>
      <c r="C1789" s="22" t="s">
        <v>45</v>
      </c>
      <c r="D1789" s="23">
        <v>1</v>
      </c>
      <c r="E1789" s="24">
        <f>SUM($D$2:D1789)/SUM($D$2:$D$2846)</f>
        <v>0.910195412064571</v>
      </c>
      <c r="F1789" s="22" t="s">
        <v>53</v>
      </c>
      <c r="G1789" s="25" t="s">
        <v>164</v>
      </c>
    </row>
    <row r="1790" spans="1:7">
      <c r="A1790" s="21" t="s">
        <v>1890</v>
      </c>
      <c r="B1790" s="26" t="s">
        <v>163</v>
      </c>
      <c r="C1790" s="22" t="s">
        <v>45</v>
      </c>
      <c r="D1790" s="23">
        <v>1</v>
      </c>
      <c r="E1790" s="24">
        <f>SUM($D$2:D1790)/SUM($D$2:$D$2846)</f>
        <v>0.91028037383177574</v>
      </c>
      <c r="F1790" s="22" t="s">
        <v>53</v>
      </c>
      <c r="G1790" s="25" t="s">
        <v>164</v>
      </c>
    </row>
    <row r="1791" spans="1:7">
      <c r="A1791" s="21" t="s">
        <v>1891</v>
      </c>
      <c r="B1791" s="26" t="s">
        <v>163</v>
      </c>
      <c r="C1791" s="22" t="s">
        <v>45</v>
      </c>
      <c r="D1791" s="23">
        <v>1</v>
      </c>
      <c r="E1791" s="24">
        <f>SUM($D$2:D1791)/SUM($D$2:$D$2846)</f>
        <v>0.91036533559898047</v>
      </c>
      <c r="F1791" s="22" t="s">
        <v>53</v>
      </c>
      <c r="G1791" s="25" t="s">
        <v>164</v>
      </c>
    </row>
    <row r="1792" spans="1:7">
      <c r="A1792" s="21" t="s">
        <v>1892</v>
      </c>
      <c r="B1792" s="26" t="s">
        <v>163</v>
      </c>
      <c r="C1792" s="22" t="s">
        <v>45</v>
      </c>
      <c r="D1792" s="23">
        <v>1</v>
      </c>
      <c r="E1792" s="24">
        <f>SUM($D$2:D1792)/SUM($D$2:$D$2846)</f>
        <v>0.91045029736618521</v>
      </c>
      <c r="F1792" s="22" t="s">
        <v>53</v>
      </c>
      <c r="G1792" s="25" t="s">
        <v>164</v>
      </c>
    </row>
    <row r="1793" spans="1:7">
      <c r="A1793" s="21" t="s">
        <v>1893</v>
      </c>
      <c r="B1793" s="26" t="s">
        <v>163</v>
      </c>
      <c r="C1793" s="22" t="s">
        <v>45</v>
      </c>
      <c r="D1793" s="23">
        <v>1</v>
      </c>
      <c r="E1793" s="24">
        <f>SUM($D$2:D1793)/SUM($D$2:$D$2846)</f>
        <v>0.91053525913338995</v>
      </c>
      <c r="F1793" s="22" t="s">
        <v>53</v>
      </c>
      <c r="G1793" s="25" t="s">
        <v>164</v>
      </c>
    </row>
    <row r="1794" spans="1:7">
      <c r="A1794" s="21" t="s">
        <v>1894</v>
      </c>
      <c r="B1794" s="26" t="s">
        <v>163</v>
      </c>
      <c r="C1794" s="22" t="s">
        <v>45</v>
      </c>
      <c r="D1794" s="23">
        <v>1</v>
      </c>
      <c r="E1794" s="24">
        <f>SUM($D$2:D1794)/SUM($D$2:$D$2846)</f>
        <v>0.91062022090059469</v>
      </c>
      <c r="F1794" s="22" t="s">
        <v>53</v>
      </c>
      <c r="G1794" s="25" t="s">
        <v>164</v>
      </c>
    </row>
    <row r="1795" spans="1:7">
      <c r="A1795" s="21" t="s">
        <v>1895</v>
      </c>
      <c r="B1795" s="22" t="s">
        <v>56</v>
      </c>
      <c r="C1795" s="22" t="s">
        <v>124</v>
      </c>
      <c r="D1795" s="23">
        <v>1</v>
      </c>
      <c r="E1795" s="24">
        <f>SUM($D$2:D1795)/SUM($D$2:$D$2846)</f>
        <v>0.91070518266779954</v>
      </c>
      <c r="F1795" s="22" t="s">
        <v>53</v>
      </c>
      <c r="G1795" s="25" t="s">
        <v>125</v>
      </c>
    </row>
    <row r="1796" spans="1:7">
      <c r="A1796" s="21" t="s">
        <v>1896</v>
      </c>
      <c r="B1796" s="26" t="s">
        <v>163</v>
      </c>
      <c r="C1796" s="22" t="s">
        <v>45</v>
      </c>
      <c r="D1796" s="23">
        <v>1</v>
      </c>
      <c r="E1796" s="24">
        <f>SUM($D$2:D1796)/SUM($D$2:$D$2846)</f>
        <v>0.91079014443500428</v>
      </c>
      <c r="F1796" s="22" t="s">
        <v>53</v>
      </c>
      <c r="G1796" s="25" t="s">
        <v>164</v>
      </c>
    </row>
    <row r="1797" spans="1:7">
      <c r="A1797" s="21" t="s">
        <v>1897</v>
      </c>
      <c r="B1797" s="26" t="s">
        <v>163</v>
      </c>
      <c r="C1797" s="22" t="s">
        <v>45</v>
      </c>
      <c r="D1797" s="23">
        <v>1</v>
      </c>
      <c r="E1797" s="24">
        <f>SUM($D$2:D1797)/SUM($D$2:$D$2846)</f>
        <v>0.91087510620220902</v>
      </c>
      <c r="F1797" s="22" t="s">
        <v>53</v>
      </c>
      <c r="G1797" s="25" t="s">
        <v>164</v>
      </c>
    </row>
    <row r="1798" spans="1:7">
      <c r="A1798" s="21" t="s">
        <v>1898</v>
      </c>
      <c r="B1798" s="22" t="s">
        <v>56</v>
      </c>
      <c r="C1798" s="22" t="s">
        <v>124</v>
      </c>
      <c r="D1798" s="23">
        <v>1</v>
      </c>
      <c r="E1798" s="24">
        <f>SUM($D$2:D1798)/SUM($D$2:$D$2846)</f>
        <v>0.91096006796941376</v>
      </c>
      <c r="F1798" s="22" t="s">
        <v>53</v>
      </c>
      <c r="G1798" s="25" t="s">
        <v>125</v>
      </c>
    </row>
    <row r="1799" spans="1:7">
      <c r="A1799" s="21" t="s">
        <v>1899</v>
      </c>
      <c r="B1799" s="26" t="s">
        <v>163</v>
      </c>
      <c r="C1799" s="22" t="s">
        <v>45</v>
      </c>
      <c r="D1799" s="23">
        <v>1</v>
      </c>
      <c r="E1799" s="24">
        <f>SUM($D$2:D1799)/SUM($D$2:$D$2846)</f>
        <v>0.91104502973661849</v>
      </c>
      <c r="F1799" s="22" t="s">
        <v>53</v>
      </c>
      <c r="G1799" s="25" t="s">
        <v>164</v>
      </c>
    </row>
    <row r="1800" spans="1:7">
      <c r="A1800" s="21" t="s">
        <v>1900</v>
      </c>
      <c r="B1800" s="26" t="s">
        <v>163</v>
      </c>
      <c r="C1800" s="22" t="s">
        <v>45</v>
      </c>
      <c r="D1800" s="23">
        <v>1</v>
      </c>
      <c r="E1800" s="24">
        <f>SUM($D$2:D1800)/SUM($D$2:$D$2846)</f>
        <v>0.91112999150382323</v>
      </c>
      <c r="F1800" s="22" t="s">
        <v>53</v>
      </c>
      <c r="G1800" s="25" t="s">
        <v>164</v>
      </c>
    </row>
    <row r="1801" spans="1:7">
      <c r="A1801" s="21" t="s">
        <v>1901</v>
      </c>
      <c r="B1801" s="26" t="s">
        <v>163</v>
      </c>
      <c r="C1801" s="22" t="s">
        <v>45</v>
      </c>
      <c r="D1801" s="23">
        <v>1</v>
      </c>
      <c r="E1801" s="24">
        <f>SUM($D$2:D1801)/SUM($D$2:$D$2846)</f>
        <v>0.91121495327102808</v>
      </c>
      <c r="F1801" s="22" t="s">
        <v>53</v>
      </c>
      <c r="G1801" s="25" t="s">
        <v>164</v>
      </c>
    </row>
    <row r="1802" spans="1:7">
      <c r="A1802" s="21" t="s">
        <v>1902</v>
      </c>
      <c r="B1802" s="26" t="s">
        <v>163</v>
      </c>
      <c r="C1802" s="22" t="s">
        <v>45</v>
      </c>
      <c r="D1802" s="23">
        <v>1</v>
      </c>
      <c r="E1802" s="24">
        <f>SUM($D$2:D1802)/SUM($D$2:$D$2846)</f>
        <v>0.91129991503823282</v>
      </c>
      <c r="F1802" s="22" t="s">
        <v>53</v>
      </c>
      <c r="G1802" s="25" t="s">
        <v>164</v>
      </c>
    </row>
    <row r="1803" spans="1:7">
      <c r="A1803" s="21" t="s">
        <v>1903</v>
      </c>
      <c r="B1803" s="26" t="s">
        <v>163</v>
      </c>
      <c r="C1803" s="22" t="s">
        <v>45</v>
      </c>
      <c r="D1803" s="23">
        <v>1</v>
      </c>
      <c r="E1803" s="24">
        <f>SUM($D$2:D1803)/SUM($D$2:$D$2846)</f>
        <v>0.91138487680543756</v>
      </c>
      <c r="F1803" s="22" t="s">
        <v>53</v>
      </c>
      <c r="G1803" s="25" t="s">
        <v>164</v>
      </c>
    </row>
    <row r="1804" spans="1:7">
      <c r="A1804" s="21" t="s">
        <v>1904</v>
      </c>
      <c r="B1804" s="26" t="s">
        <v>163</v>
      </c>
      <c r="C1804" s="22" t="s">
        <v>45</v>
      </c>
      <c r="D1804" s="23">
        <v>1</v>
      </c>
      <c r="E1804" s="24">
        <f>SUM($D$2:D1804)/SUM($D$2:$D$2846)</f>
        <v>0.9114698385726423</v>
      </c>
      <c r="F1804" s="22" t="s">
        <v>53</v>
      </c>
      <c r="G1804" s="25" t="s">
        <v>164</v>
      </c>
    </row>
    <row r="1805" spans="1:7">
      <c r="A1805" s="21" t="s">
        <v>1905</v>
      </c>
      <c r="B1805" s="26" t="s">
        <v>163</v>
      </c>
      <c r="C1805" s="22" t="s">
        <v>45</v>
      </c>
      <c r="D1805" s="23">
        <v>1</v>
      </c>
      <c r="E1805" s="24">
        <f>SUM($D$2:D1805)/SUM($D$2:$D$2846)</f>
        <v>0.91155480033984704</v>
      </c>
      <c r="F1805" s="22" t="s">
        <v>53</v>
      </c>
      <c r="G1805" s="25" t="s">
        <v>164</v>
      </c>
    </row>
    <row r="1806" spans="1:7">
      <c r="A1806" s="21" t="s">
        <v>1906</v>
      </c>
      <c r="B1806" s="26" t="s">
        <v>163</v>
      </c>
      <c r="C1806" s="22" t="s">
        <v>45</v>
      </c>
      <c r="D1806" s="23">
        <v>1</v>
      </c>
      <c r="E1806" s="24">
        <f>SUM($D$2:D1806)/SUM($D$2:$D$2846)</f>
        <v>0.91163976210705178</v>
      </c>
      <c r="F1806" s="22" t="s">
        <v>53</v>
      </c>
      <c r="G1806" s="25" t="s">
        <v>164</v>
      </c>
    </row>
    <row r="1807" spans="1:7">
      <c r="A1807" s="21" t="s">
        <v>1907</v>
      </c>
      <c r="B1807" s="26" t="s">
        <v>163</v>
      </c>
      <c r="C1807" s="22" t="s">
        <v>45</v>
      </c>
      <c r="D1807" s="23">
        <v>1</v>
      </c>
      <c r="E1807" s="24">
        <f>SUM($D$2:D1807)/SUM($D$2:$D$2846)</f>
        <v>0.91172472387425663</v>
      </c>
      <c r="F1807" s="22" t="s">
        <v>53</v>
      </c>
      <c r="G1807" s="25" t="s">
        <v>164</v>
      </c>
    </row>
    <row r="1808" spans="1:7">
      <c r="A1808" s="21" t="s">
        <v>1908</v>
      </c>
      <c r="B1808" s="26" t="s">
        <v>163</v>
      </c>
      <c r="C1808" s="22" t="s">
        <v>45</v>
      </c>
      <c r="D1808" s="23">
        <v>1</v>
      </c>
      <c r="E1808" s="24">
        <f>SUM($D$2:D1808)/SUM($D$2:$D$2846)</f>
        <v>0.91180968564146136</v>
      </c>
      <c r="F1808" s="22" t="s">
        <v>53</v>
      </c>
      <c r="G1808" s="25" t="s">
        <v>164</v>
      </c>
    </row>
    <row r="1809" spans="1:7">
      <c r="A1809" s="21" t="s">
        <v>1909</v>
      </c>
      <c r="B1809" s="26" t="s">
        <v>163</v>
      </c>
      <c r="C1809" s="22" t="s">
        <v>45</v>
      </c>
      <c r="D1809" s="23">
        <v>1</v>
      </c>
      <c r="E1809" s="24">
        <f>SUM($D$2:D1809)/SUM($D$2:$D$2846)</f>
        <v>0.9118946474086661</v>
      </c>
      <c r="F1809" s="22" t="s">
        <v>53</v>
      </c>
      <c r="G1809" s="25" t="s">
        <v>164</v>
      </c>
    </row>
    <row r="1810" spans="1:7">
      <c r="A1810" s="21" t="s">
        <v>1910</v>
      </c>
      <c r="B1810" s="26" t="s">
        <v>163</v>
      </c>
      <c r="C1810" s="22" t="s">
        <v>45</v>
      </c>
      <c r="D1810" s="23">
        <v>1</v>
      </c>
      <c r="E1810" s="24">
        <f>SUM($D$2:D1810)/SUM($D$2:$D$2846)</f>
        <v>0.91197960917587084</v>
      </c>
      <c r="F1810" s="22" t="s">
        <v>53</v>
      </c>
      <c r="G1810" s="25" t="s">
        <v>164</v>
      </c>
    </row>
    <row r="1811" spans="1:7">
      <c r="A1811" s="21" t="s">
        <v>1911</v>
      </c>
      <c r="B1811" s="26" t="s">
        <v>163</v>
      </c>
      <c r="C1811" s="22" t="s">
        <v>45</v>
      </c>
      <c r="D1811" s="23">
        <v>1</v>
      </c>
      <c r="E1811" s="24">
        <f>SUM($D$2:D1811)/SUM($D$2:$D$2846)</f>
        <v>0.91206457094307558</v>
      </c>
      <c r="F1811" s="22" t="s">
        <v>53</v>
      </c>
      <c r="G1811" s="25" t="s">
        <v>164</v>
      </c>
    </row>
    <row r="1812" spans="1:7">
      <c r="A1812" s="21" t="s">
        <v>1912</v>
      </c>
      <c r="B1812" s="26" t="s">
        <v>163</v>
      </c>
      <c r="C1812" s="22" t="s">
        <v>45</v>
      </c>
      <c r="D1812" s="23">
        <v>1</v>
      </c>
      <c r="E1812" s="24">
        <f>SUM($D$2:D1812)/SUM($D$2:$D$2846)</f>
        <v>0.91214953271028032</v>
      </c>
      <c r="F1812" s="22" t="s">
        <v>53</v>
      </c>
      <c r="G1812" s="25" t="s">
        <v>164</v>
      </c>
    </row>
    <row r="1813" spans="1:7">
      <c r="A1813" s="21" t="s">
        <v>1913</v>
      </c>
      <c r="B1813" s="26" t="s">
        <v>163</v>
      </c>
      <c r="C1813" s="22" t="s">
        <v>45</v>
      </c>
      <c r="D1813" s="23">
        <v>1</v>
      </c>
      <c r="E1813" s="24">
        <f>SUM($D$2:D1813)/SUM($D$2:$D$2846)</f>
        <v>0.91223449447748517</v>
      </c>
      <c r="F1813" s="22" t="s">
        <v>53</v>
      </c>
      <c r="G1813" s="25" t="s">
        <v>164</v>
      </c>
    </row>
    <row r="1814" spans="1:7">
      <c r="A1814" s="21" t="s">
        <v>1914</v>
      </c>
      <c r="B1814" s="26" t="s">
        <v>163</v>
      </c>
      <c r="C1814" s="22" t="s">
        <v>45</v>
      </c>
      <c r="D1814" s="23">
        <v>1</v>
      </c>
      <c r="E1814" s="24">
        <f>SUM($D$2:D1814)/SUM($D$2:$D$2846)</f>
        <v>0.91231945624468991</v>
      </c>
      <c r="F1814" s="22" t="s">
        <v>53</v>
      </c>
      <c r="G1814" s="25" t="s">
        <v>164</v>
      </c>
    </row>
    <row r="1815" spans="1:7">
      <c r="A1815" s="21" t="s">
        <v>1915</v>
      </c>
      <c r="B1815" s="26" t="s">
        <v>163</v>
      </c>
      <c r="C1815" s="22" t="s">
        <v>45</v>
      </c>
      <c r="D1815" s="23">
        <v>1</v>
      </c>
      <c r="E1815" s="24">
        <f>SUM($D$2:D1815)/SUM($D$2:$D$2846)</f>
        <v>0.91240441801189465</v>
      </c>
      <c r="F1815" s="22" t="s">
        <v>53</v>
      </c>
      <c r="G1815" s="25" t="s">
        <v>164</v>
      </c>
    </row>
    <row r="1816" spans="1:7">
      <c r="A1816" s="21" t="s">
        <v>1916</v>
      </c>
      <c r="B1816" s="22" t="s">
        <v>56</v>
      </c>
      <c r="C1816" s="22" t="s">
        <v>124</v>
      </c>
      <c r="D1816" s="23">
        <v>1</v>
      </c>
      <c r="E1816" s="24">
        <f>SUM($D$2:D1816)/SUM($D$2:$D$2846)</f>
        <v>0.91248937977909939</v>
      </c>
      <c r="F1816" s="22" t="s">
        <v>53</v>
      </c>
      <c r="G1816" s="25" t="s">
        <v>125</v>
      </c>
    </row>
    <row r="1817" spans="1:7">
      <c r="A1817" s="21" t="s">
        <v>1917</v>
      </c>
      <c r="B1817" s="26" t="s">
        <v>163</v>
      </c>
      <c r="C1817" s="22" t="s">
        <v>45</v>
      </c>
      <c r="D1817" s="23">
        <v>1</v>
      </c>
      <c r="E1817" s="24">
        <f>SUM($D$2:D1817)/SUM($D$2:$D$2846)</f>
        <v>0.91257434154630412</v>
      </c>
      <c r="F1817" s="22" t="s">
        <v>53</v>
      </c>
      <c r="G1817" s="25" t="s">
        <v>164</v>
      </c>
    </row>
    <row r="1818" spans="1:7">
      <c r="A1818" s="21" t="s">
        <v>1918</v>
      </c>
      <c r="B1818" s="22" t="s">
        <v>56</v>
      </c>
      <c r="C1818" s="22" t="s">
        <v>124</v>
      </c>
      <c r="D1818" s="23">
        <v>1</v>
      </c>
      <c r="E1818" s="24">
        <f>SUM($D$2:D1818)/SUM($D$2:$D$2846)</f>
        <v>0.91265930331350897</v>
      </c>
      <c r="F1818" s="22" t="s">
        <v>53</v>
      </c>
      <c r="G1818" s="25" t="s">
        <v>125</v>
      </c>
    </row>
    <row r="1819" spans="1:7">
      <c r="A1819" s="21" t="s">
        <v>1919</v>
      </c>
      <c r="B1819" s="26" t="s">
        <v>163</v>
      </c>
      <c r="C1819" s="22" t="s">
        <v>45</v>
      </c>
      <c r="D1819" s="23">
        <v>1</v>
      </c>
      <c r="E1819" s="24">
        <f>SUM($D$2:D1819)/SUM($D$2:$D$2846)</f>
        <v>0.91274426508071371</v>
      </c>
      <c r="F1819" s="22" t="s">
        <v>53</v>
      </c>
      <c r="G1819" s="25" t="s">
        <v>164</v>
      </c>
    </row>
    <row r="1820" spans="1:7">
      <c r="A1820" s="21" t="s">
        <v>1920</v>
      </c>
      <c r="B1820" s="26" t="s">
        <v>163</v>
      </c>
      <c r="C1820" s="22" t="s">
        <v>45</v>
      </c>
      <c r="D1820" s="23">
        <v>1</v>
      </c>
      <c r="E1820" s="24">
        <f>SUM($D$2:D1820)/SUM($D$2:$D$2846)</f>
        <v>0.91282922684791845</v>
      </c>
      <c r="F1820" s="22" t="s">
        <v>53</v>
      </c>
      <c r="G1820" s="25" t="s">
        <v>164</v>
      </c>
    </row>
    <row r="1821" spans="1:7">
      <c r="A1821" s="21" t="s">
        <v>1921</v>
      </c>
      <c r="B1821" s="26" t="s">
        <v>163</v>
      </c>
      <c r="C1821" s="22" t="s">
        <v>45</v>
      </c>
      <c r="D1821" s="23">
        <v>1</v>
      </c>
      <c r="E1821" s="24">
        <f>SUM($D$2:D1821)/SUM($D$2:$D$2846)</f>
        <v>0.91291418861512319</v>
      </c>
      <c r="F1821" s="22" t="s">
        <v>53</v>
      </c>
      <c r="G1821" s="25" t="s">
        <v>164</v>
      </c>
    </row>
    <row r="1822" spans="1:7">
      <c r="A1822" s="21" t="s">
        <v>1922</v>
      </c>
      <c r="B1822" s="26" t="s">
        <v>163</v>
      </c>
      <c r="C1822" s="22" t="s">
        <v>45</v>
      </c>
      <c r="D1822" s="23">
        <v>1</v>
      </c>
      <c r="E1822" s="24">
        <f>SUM($D$2:D1822)/SUM($D$2:$D$2846)</f>
        <v>0.91299915038232793</v>
      </c>
      <c r="F1822" s="22" t="s">
        <v>53</v>
      </c>
      <c r="G1822" s="25" t="s">
        <v>164</v>
      </c>
    </row>
    <row r="1823" spans="1:7">
      <c r="A1823" s="21" t="s">
        <v>1923</v>
      </c>
      <c r="B1823" s="22" t="s">
        <v>56</v>
      </c>
      <c r="C1823" s="22" t="s">
        <v>124</v>
      </c>
      <c r="D1823" s="23">
        <v>1</v>
      </c>
      <c r="E1823" s="24">
        <f>SUM($D$2:D1823)/SUM($D$2:$D$2846)</f>
        <v>0.91308411214953267</v>
      </c>
      <c r="F1823" s="22" t="s">
        <v>53</v>
      </c>
      <c r="G1823" s="25" t="s">
        <v>125</v>
      </c>
    </row>
    <row r="1824" spans="1:7">
      <c r="A1824" s="21" t="s">
        <v>1924</v>
      </c>
      <c r="B1824" s="22" t="s">
        <v>56</v>
      </c>
      <c r="C1824" s="22" t="s">
        <v>124</v>
      </c>
      <c r="D1824" s="23">
        <v>1</v>
      </c>
      <c r="E1824" s="24">
        <f>SUM($D$2:D1824)/SUM($D$2:$D$2846)</f>
        <v>0.91316907391673752</v>
      </c>
      <c r="F1824" s="22" t="s">
        <v>53</v>
      </c>
      <c r="G1824" s="25" t="s">
        <v>125</v>
      </c>
    </row>
    <row r="1825" spans="1:7">
      <c r="A1825" s="21" t="s">
        <v>1925</v>
      </c>
      <c r="B1825" s="22" t="s">
        <v>56</v>
      </c>
      <c r="C1825" s="22" t="s">
        <v>124</v>
      </c>
      <c r="D1825" s="23">
        <v>1</v>
      </c>
      <c r="E1825" s="24">
        <f>SUM($D$2:D1825)/SUM($D$2:$D$2846)</f>
        <v>0.91325403568394226</v>
      </c>
      <c r="F1825" s="22" t="s">
        <v>53</v>
      </c>
      <c r="G1825" s="25" t="s">
        <v>125</v>
      </c>
    </row>
    <row r="1826" spans="1:7">
      <c r="A1826" s="21" t="s">
        <v>1926</v>
      </c>
      <c r="B1826" s="22" t="s">
        <v>56</v>
      </c>
      <c r="C1826" s="22" t="s">
        <v>124</v>
      </c>
      <c r="D1826" s="23">
        <v>1</v>
      </c>
      <c r="E1826" s="24">
        <f>SUM($D$2:D1826)/SUM($D$2:$D$2846)</f>
        <v>0.91333899745114699</v>
      </c>
      <c r="F1826" s="22" t="s">
        <v>53</v>
      </c>
      <c r="G1826" s="25" t="s">
        <v>125</v>
      </c>
    </row>
    <row r="1827" spans="1:7">
      <c r="A1827" s="21" t="s">
        <v>1927</v>
      </c>
      <c r="B1827" s="22" t="s">
        <v>56</v>
      </c>
      <c r="C1827" s="22" t="s">
        <v>124</v>
      </c>
      <c r="D1827" s="23">
        <v>1</v>
      </c>
      <c r="E1827" s="24">
        <f>SUM($D$2:D1827)/SUM($D$2:$D$2846)</f>
        <v>0.91342395921835173</v>
      </c>
      <c r="F1827" s="22" t="s">
        <v>53</v>
      </c>
      <c r="G1827" s="25" t="s">
        <v>125</v>
      </c>
    </row>
    <row r="1828" spans="1:7">
      <c r="A1828" s="21" t="s">
        <v>1928</v>
      </c>
      <c r="B1828" s="22" t="s">
        <v>56</v>
      </c>
      <c r="C1828" s="22" t="s">
        <v>124</v>
      </c>
      <c r="D1828" s="23">
        <v>1</v>
      </c>
      <c r="E1828" s="24">
        <f>SUM($D$2:D1828)/SUM($D$2:$D$2846)</f>
        <v>0.91350892098555647</v>
      </c>
      <c r="F1828" s="22" t="s">
        <v>53</v>
      </c>
      <c r="G1828" s="25" t="s">
        <v>125</v>
      </c>
    </row>
    <row r="1829" spans="1:7">
      <c r="A1829" s="21" t="s">
        <v>1929</v>
      </c>
      <c r="B1829" s="22" t="s">
        <v>56</v>
      </c>
      <c r="C1829" s="22" t="s">
        <v>124</v>
      </c>
      <c r="D1829" s="23">
        <v>1</v>
      </c>
      <c r="E1829" s="24">
        <f>SUM($D$2:D1829)/SUM($D$2:$D$2846)</f>
        <v>0.91359388275276121</v>
      </c>
      <c r="F1829" s="22" t="s">
        <v>53</v>
      </c>
      <c r="G1829" s="25" t="s">
        <v>125</v>
      </c>
    </row>
    <row r="1830" spans="1:7">
      <c r="A1830" s="21" t="s">
        <v>1930</v>
      </c>
      <c r="B1830" s="22" t="s">
        <v>56</v>
      </c>
      <c r="C1830" s="22" t="s">
        <v>124</v>
      </c>
      <c r="D1830" s="23">
        <v>1</v>
      </c>
      <c r="E1830" s="24">
        <f>SUM($D$2:D1830)/SUM($D$2:$D$2846)</f>
        <v>0.91367884451996606</v>
      </c>
      <c r="F1830" s="22" t="s">
        <v>53</v>
      </c>
      <c r="G1830" s="25" t="s">
        <v>125</v>
      </c>
    </row>
    <row r="1831" spans="1:7">
      <c r="A1831" s="21" t="s">
        <v>1931</v>
      </c>
      <c r="B1831" s="22" t="s">
        <v>56</v>
      </c>
      <c r="C1831" s="22" t="s">
        <v>124</v>
      </c>
      <c r="D1831" s="23">
        <v>1</v>
      </c>
      <c r="E1831" s="24">
        <f>SUM($D$2:D1831)/SUM($D$2:$D$2846)</f>
        <v>0.9137638062871708</v>
      </c>
      <c r="F1831" s="22" t="s">
        <v>53</v>
      </c>
      <c r="G1831" s="25" t="s">
        <v>125</v>
      </c>
    </row>
    <row r="1832" spans="1:7">
      <c r="A1832" s="21" t="s">
        <v>1932</v>
      </c>
      <c r="B1832" s="22" t="s">
        <v>56</v>
      </c>
      <c r="C1832" s="22" t="s">
        <v>124</v>
      </c>
      <c r="D1832" s="23">
        <v>1</v>
      </c>
      <c r="E1832" s="24">
        <f>SUM($D$2:D1832)/SUM($D$2:$D$2846)</f>
        <v>0.91384876805437554</v>
      </c>
      <c r="F1832" s="22" t="s">
        <v>53</v>
      </c>
      <c r="G1832" s="25" t="s">
        <v>125</v>
      </c>
    </row>
    <row r="1833" spans="1:7">
      <c r="A1833" s="21" t="s">
        <v>1933</v>
      </c>
      <c r="B1833" s="22" t="s">
        <v>56</v>
      </c>
      <c r="C1833" s="22" t="s">
        <v>124</v>
      </c>
      <c r="D1833" s="23">
        <v>1</v>
      </c>
      <c r="E1833" s="24">
        <f>SUM($D$2:D1833)/SUM($D$2:$D$2846)</f>
        <v>0.91393372982158028</v>
      </c>
      <c r="F1833" s="22" t="s">
        <v>53</v>
      </c>
      <c r="G1833" s="25" t="s">
        <v>125</v>
      </c>
    </row>
    <row r="1834" spans="1:7">
      <c r="A1834" s="21" t="s">
        <v>92</v>
      </c>
      <c r="B1834" s="26" t="s">
        <v>44</v>
      </c>
      <c r="C1834" s="22" t="s">
        <v>73</v>
      </c>
      <c r="D1834" s="23">
        <v>1</v>
      </c>
      <c r="E1834" s="24">
        <f>SUM($D$2:D1834)/SUM($D$2:$D$2846)</f>
        <v>0.91401869158878501</v>
      </c>
      <c r="F1834" s="22" t="s">
        <v>53</v>
      </c>
      <c r="G1834" s="25" t="s">
        <v>74</v>
      </c>
    </row>
    <row r="1835" spans="1:7">
      <c r="A1835" s="21" t="s">
        <v>1934</v>
      </c>
      <c r="B1835" s="22" t="s">
        <v>56</v>
      </c>
      <c r="C1835" s="22" t="s">
        <v>124</v>
      </c>
      <c r="D1835" s="23">
        <v>1</v>
      </c>
      <c r="E1835" s="24">
        <f>SUM($D$2:D1835)/SUM($D$2:$D$2846)</f>
        <v>0.91410365335598975</v>
      </c>
      <c r="F1835" s="22" t="s">
        <v>53</v>
      </c>
      <c r="G1835" s="25" t="s">
        <v>125</v>
      </c>
    </row>
    <row r="1836" spans="1:7">
      <c r="A1836" s="21" t="s">
        <v>1935</v>
      </c>
      <c r="B1836" s="22" t="s">
        <v>56</v>
      </c>
      <c r="C1836" s="22" t="s">
        <v>124</v>
      </c>
      <c r="D1836" s="23">
        <v>1</v>
      </c>
      <c r="E1836" s="24">
        <f>SUM($D$2:D1836)/SUM($D$2:$D$2846)</f>
        <v>0.9141886151231946</v>
      </c>
      <c r="F1836" s="22" t="s">
        <v>53</v>
      </c>
      <c r="G1836" s="25" t="s">
        <v>125</v>
      </c>
    </row>
    <row r="1837" spans="1:7">
      <c r="A1837" s="21" t="s">
        <v>1936</v>
      </c>
      <c r="B1837" s="26" t="s">
        <v>163</v>
      </c>
      <c r="C1837" s="22" t="s">
        <v>45</v>
      </c>
      <c r="D1837" s="23">
        <v>1</v>
      </c>
      <c r="E1837" s="24">
        <f>SUM($D$2:D1837)/SUM($D$2:$D$2846)</f>
        <v>0.91427357689039934</v>
      </c>
      <c r="F1837" s="22" t="s">
        <v>53</v>
      </c>
      <c r="G1837" s="25" t="s">
        <v>164</v>
      </c>
    </row>
    <row r="1838" spans="1:7">
      <c r="A1838" s="21" t="s">
        <v>1937</v>
      </c>
      <c r="B1838" s="26" t="s">
        <v>163</v>
      </c>
      <c r="C1838" s="22" t="s">
        <v>45</v>
      </c>
      <c r="D1838" s="23">
        <v>1</v>
      </c>
      <c r="E1838" s="24">
        <f>SUM($D$2:D1838)/SUM($D$2:$D$2846)</f>
        <v>0.91435853865760408</v>
      </c>
      <c r="F1838" s="22" t="s">
        <v>53</v>
      </c>
      <c r="G1838" s="25" t="s">
        <v>164</v>
      </c>
    </row>
    <row r="1839" spans="1:7">
      <c r="A1839" s="21" t="s">
        <v>1938</v>
      </c>
      <c r="B1839" s="22" t="s">
        <v>56</v>
      </c>
      <c r="C1839" s="22" t="s">
        <v>124</v>
      </c>
      <c r="D1839" s="23">
        <v>1</v>
      </c>
      <c r="E1839" s="24">
        <f>SUM($D$2:D1839)/SUM($D$2:$D$2846)</f>
        <v>0.91444350042480882</v>
      </c>
      <c r="F1839" s="22" t="s">
        <v>53</v>
      </c>
      <c r="G1839" s="25" t="s">
        <v>125</v>
      </c>
    </row>
    <row r="1840" spans="1:7">
      <c r="A1840" s="21" t="s">
        <v>1939</v>
      </c>
      <c r="B1840" s="22" t="s">
        <v>56</v>
      </c>
      <c r="C1840" s="22" t="s">
        <v>124</v>
      </c>
      <c r="D1840" s="23">
        <v>1</v>
      </c>
      <c r="E1840" s="24">
        <f>SUM($D$2:D1840)/SUM($D$2:$D$2846)</f>
        <v>0.91452846219201356</v>
      </c>
      <c r="F1840" s="22" t="s">
        <v>53</v>
      </c>
      <c r="G1840" s="25" t="s">
        <v>125</v>
      </c>
    </row>
    <row r="1841" spans="1:7">
      <c r="A1841" s="21" t="s">
        <v>1940</v>
      </c>
      <c r="B1841" s="22" t="s">
        <v>56</v>
      </c>
      <c r="C1841" s="22" t="s">
        <v>124</v>
      </c>
      <c r="D1841" s="23">
        <v>1</v>
      </c>
      <c r="E1841" s="24">
        <f>SUM($D$2:D1841)/SUM($D$2:$D$2846)</f>
        <v>0.9146134239592183</v>
      </c>
      <c r="F1841" s="22" t="s">
        <v>53</v>
      </c>
      <c r="G1841" s="25" t="s">
        <v>125</v>
      </c>
    </row>
    <row r="1842" spans="1:7">
      <c r="A1842" s="21" t="s">
        <v>1941</v>
      </c>
      <c r="B1842" s="22" t="s">
        <v>56</v>
      </c>
      <c r="C1842" s="22" t="s">
        <v>124</v>
      </c>
      <c r="D1842" s="23">
        <v>1</v>
      </c>
      <c r="E1842" s="24">
        <f>SUM($D$2:D1842)/SUM($D$2:$D$2846)</f>
        <v>0.91469838572642315</v>
      </c>
      <c r="F1842" s="22" t="s">
        <v>53</v>
      </c>
      <c r="G1842" s="25" t="s">
        <v>125</v>
      </c>
    </row>
    <row r="1843" spans="1:7">
      <c r="A1843" s="21" t="s">
        <v>1942</v>
      </c>
      <c r="B1843" s="26" t="s">
        <v>163</v>
      </c>
      <c r="C1843" s="22" t="s">
        <v>45</v>
      </c>
      <c r="D1843" s="23">
        <v>1</v>
      </c>
      <c r="E1843" s="24">
        <f>SUM($D$2:D1843)/SUM($D$2:$D$2846)</f>
        <v>0.91478334749362789</v>
      </c>
      <c r="F1843" s="22" t="s">
        <v>53</v>
      </c>
      <c r="G1843" s="25" t="s">
        <v>164</v>
      </c>
    </row>
    <row r="1844" spans="1:7">
      <c r="A1844" s="21" t="s">
        <v>1943</v>
      </c>
      <c r="B1844" s="26" t="s">
        <v>163</v>
      </c>
      <c r="C1844" s="22" t="s">
        <v>45</v>
      </c>
      <c r="D1844" s="23">
        <v>1</v>
      </c>
      <c r="E1844" s="24">
        <f>SUM($D$2:D1844)/SUM($D$2:$D$2846)</f>
        <v>0.91486830926083262</v>
      </c>
      <c r="F1844" s="22" t="s">
        <v>53</v>
      </c>
      <c r="G1844" s="25" t="s">
        <v>164</v>
      </c>
    </row>
    <row r="1845" spans="1:7">
      <c r="A1845" s="21" t="s">
        <v>1944</v>
      </c>
      <c r="B1845" s="22" t="s">
        <v>56</v>
      </c>
      <c r="C1845" s="22" t="s">
        <v>124</v>
      </c>
      <c r="D1845" s="23">
        <v>1</v>
      </c>
      <c r="E1845" s="24">
        <f>SUM($D$2:D1845)/SUM($D$2:$D$2846)</f>
        <v>0.91495327102803736</v>
      </c>
      <c r="F1845" s="22" t="s">
        <v>53</v>
      </c>
      <c r="G1845" s="25" t="s">
        <v>125</v>
      </c>
    </row>
    <row r="1846" spans="1:7">
      <c r="A1846" s="21" t="s">
        <v>1945</v>
      </c>
      <c r="B1846" s="22" t="s">
        <v>56</v>
      </c>
      <c r="C1846" s="22" t="s">
        <v>124</v>
      </c>
      <c r="D1846" s="23">
        <v>1</v>
      </c>
      <c r="E1846" s="24">
        <f>SUM($D$2:D1846)/SUM($D$2:$D$2846)</f>
        <v>0.9150382327952421</v>
      </c>
      <c r="F1846" s="22" t="s">
        <v>53</v>
      </c>
      <c r="G1846" s="25" t="s">
        <v>125</v>
      </c>
    </row>
    <row r="1847" spans="1:7">
      <c r="A1847" s="21" t="s">
        <v>1946</v>
      </c>
      <c r="B1847" s="22" t="s">
        <v>56</v>
      </c>
      <c r="C1847" s="22" t="s">
        <v>124</v>
      </c>
      <c r="D1847" s="23">
        <v>1</v>
      </c>
      <c r="E1847" s="24">
        <f>SUM($D$2:D1847)/SUM($D$2:$D$2846)</f>
        <v>0.91512319456244695</v>
      </c>
      <c r="F1847" s="22" t="s">
        <v>53</v>
      </c>
      <c r="G1847" s="25" t="s">
        <v>125</v>
      </c>
    </row>
    <row r="1848" spans="1:7">
      <c r="A1848" s="21" t="s">
        <v>1947</v>
      </c>
      <c r="B1848" s="26" t="s">
        <v>163</v>
      </c>
      <c r="C1848" s="22" t="s">
        <v>45</v>
      </c>
      <c r="D1848" s="23">
        <v>1</v>
      </c>
      <c r="E1848" s="24">
        <f>SUM($D$2:D1848)/SUM($D$2:$D$2846)</f>
        <v>0.91520815632965169</v>
      </c>
      <c r="F1848" s="22" t="s">
        <v>53</v>
      </c>
      <c r="G1848" s="25" t="s">
        <v>164</v>
      </c>
    </row>
    <row r="1849" spans="1:7">
      <c r="A1849" s="21" t="s">
        <v>1948</v>
      </c>
      <c r="B1849" s="22" t="s">
        <v>56</v>
      </c>
      <c r="C1849" s="22" t="s">
        <v>124</v>
      </c>
      <c r="D1849" s="23">
        <v>1</v>
      </c>
      <c r="E1849" s="24">
        <f>SUM($D$2:D1849)/SUM($D$2:$D$2846)</f>
        <v>0.91529311809685643</v>
      </c>
      <c r="F1849" s="22" t="s">
        <v>53</v>
      </c>
      <c r="G1849" s="25" t="s">
        <v>125</v>
      </c>
    </row>
    <row r="1850" spans="1:7">
      <c r="A1850" s="21" t="s">
        <v>1949</v>
      </c>
      <c r="B1850" s="22" t="s">
        <v>56</v>
      </c>
      <c r="C1850" s="22" t="s">
        <v>124</v>
      </c>
      <c r="D1850" s="23">
        <v>1</v>
      </c>
      <c r="E1850" s="24">
        <f>SUM($D$2:D1850)/SUM($D$2:$D$2846)</f>
        <v>0.91537807986406117</v>
      </c>
      <c r="F1850" s="22" t="s">
        <v>53</v>
      </c>
      <c r="G1850" s="25" t="s">
        <v>125</v>
      </c>
    </row>
    <row r="1851" spans="1:7">
      <c r="A1851" s="21" t="s">
        <v>1950</v>
      </c>
      <c r="B1851" s="22" t="s">
        <v>56</v>
      </c>
      <c r="C1851" s="22" t="s">
        <v>124</v>
      </c>
      <c r="D1851" s="23">
        <v>1</v>
      </c>
      <c r="E1851" s="24">
        <f>SUM($D$2:D1851)/SUM($D$2:$D$2846)</f>
        <v>0.91546304163126591</v>
      </c>
      <c r="F1851" s="22" t="s">
        <v>53</v>
      </c>
      <c r="G1851" s="25" t="s">
        <v>125</v>
      </c>
    </row>
    <row r="1852" spans="1:7">
      <c r="A1852" s="21" t="s">
        <v>1951</v>
      </c>
      <c r="B1852" s="26" t="s">
        <v>163</v>
      </c>
      <c r="C1852" s="22" t="s">
        <v>45</v>
      </c>
      <c r="D1852" s="23">
        <v>1</v>
      </c>
      <c r="E1852" s="24">
        <f>SUM($D$2:D1852)/SUM($D$2:$D$2846)</f>
        <v>0.91554800339847064</v>
      </c>
      <c r="F1852" s="22" t="s">
        <v>53</v>
      </c>
      <c r="G1852" s="25" t="s">
        <v>164</v>
      </c>
    </row>
    <row r="1853" spans="1:7">
      <c r="A1853" s="21" t="s">
        <v>1952</v>
      </c>
      <c r="B1853" s="22" t="s">
        <v>56</v>
      </c>
      <c r="C1853" s="22" t="s">
        <v>124</v>
      </c>
      <c r="D1853" s="23">
        <v>1</v>
      </c>
      <c r="E1853" s="24">
        <f>SUM($D$2:D1853)/SUM($D$2:$D$2846)</f>
        <v>0.91563296516567549</v>
      </c>
      <c r="F1853" s="22" t="s">
        <v>53</v>
      </c>
      <c r="G1853" s="25" t="s">
        <v>125</v>
      </c>
    </row>
    <row r="1854" spans="1:7">
      <c r="A1854" s="21" t="s">
        <v>1953</v>
      </c>
      <c r="B1854" s="22" t="s">
        <v>56</v>
      </c>
      <c r="C1854" s="22" t="s">
        <v>124</v>
      </c>
      <c r="D1854" s="23">
        <v>1</v>
      </c>
      <c r="E1854" s="24">
        <f>SUM($D$2:D1854)/SUM($D$2:$D$2846)</f>
        <v>0.91571792693288023</v>
      </c>
      <c r="F1854" s="22" t="s">
        <v>53</v>
      </c>
      <c r="G1854" s="25" t="s">
        <v>125</v>
      </c>
    </row>
    <row r="1855" spans="1:7">
      <c r="A1855" s="21" t="s">
        <v>1954</v>
      </c>
      <c r="B1855" s="26" t="s">
        <v>163</v>
      </c>
      <c r="C1855" s="22" t="s">
        <v>45</v>
      </c>
      <c r="D1855" s="23">
        <v>1</v>
      </c>
      <c r="E1855" s="24">
        <f>SUM($D$2:D1855)/SUM($D$2:$D$2846)</f>
        <v>0.91580288870008497</v>
      </c>
      <c r="F1855" s="22" t="s">
        <v>53</v>
      </c>
      <c r="G1855" s="25" t="s">
        <v>164</v>
      </c>
    </row>
    <row r="1856" spans="1:7">
      <c r="A1856" s="21" t="s">
        <v>1955</v>
      </c>
      <c r="B1856" s="22" t="s">
        <v>56</v>
      </c>
      <c r="C1856" s="22" t="s">
        <v>124</v>
      </c>
      <c r="D1856" s="23">
        <v>1</v>
      </c>
      <c r="E1856" s="24">
        <f>SUM($D$2:D1856)/SUM($D$2:$D$2846)</f>
        <v>0.91588785046728971</v>
      </c>
      <c r="F1856" s="22" t="s">
        <v>53</v>
      </c>
      <c r="G1856" s="25" t="s">
        <v>125</v>
      </c>
    </row>
    <row r="1857" spans="1:7">
      <c r="A1857" s="21" t="s">
        <v>1956</v>
      </c>
      <c r="B1857" s="22" t="s">
        <v>56</v>
      </c>
      <c r="C1857" s="22" t="s">
        <v>124</v>
      </c>
      <c r="D1857" s="23">
        <v>1</v>
      </c>
      <c r="E1857" s="24">
        <f>SUM($D$2:D1857)/SUM($D$2:$D$2846)</f>
        <v>0.91597281223449445</v>
      </c>
      <c r="F1857" s="22" t="s">
        <v>53</v>
      </c>
      <c r="G1857" s="25" t="s">
        <v>125</v>
      </c>
    </row>
    <row r="1858" spans="1:7">
      <c r="A1858" s="21" t="s">
        <v>1957</v>
      </c>
      <c r="B1858" s="22" t="s">
        <v>56</v>
      </c>
      <c r="C1858" s="22" t="s">
        <v>124</v>
      </c>
      <c r="D1858" s="23">
        <v>1</v>
      </c>
      <c r="E1858" s="24">
        <f>SUM($D$2:D1858)/SUM($D$2:$D$2846)</f>
        <v>0.91605777400169919</v>
      </c>
      <c r="F1858" s="22" t="s">
        <v>53</v>
      </c>
      <c r="G1858" s="25" t="s">
        <v>125</v>
      </c>
    </row>
    <row r="1859" spans="1:7">
      <c r="A1859" s="21" t="s">
        <v>1958</v>
      </c>
      <c r="B1859" s="22" t="s">
        <v>56</v>
      </c>
      <c r="C1859" s="22" t="s">
        <v>124</v>
      </c>
      <c r="D1859" s="23">
        <v>1</v>
      </c>
      <c r="E1859" s="24">
        <f>SUM($D$2:D1859)/SUM($D$2:$D$2846)</f>
        <v>0.91614273576890404</v>
      </c>
      <c r="F1859" s="22" t="s">
        <v>53</v>
      </c>
      <c r="G1859" s="25" t="s">
        <v>125</v>
      </c>
    </row>
    <row r="1860" spans="1:7">
      <c r="A1860" s="21" t="s">
        <v>1959</v>
      </c>
      <c r="B1860" s="26" t="s">
        <v>163</v>
      </c>
      <c r="C1860" s="22" t="s">
        <v>45</v>
      </c>
      <c r="D1860" s="23">
        <v>1</v>
      </c>
      <c r="E1860" s="24">
        <f>SUM($D$2:D1860)/SUM($D$2:$D$2846)</f>
        <v>0.91622769753610878</v>
      </c>
      <c r="F1860" s="22" t="s">
        <v>53</v>
      </c>
      <c r="G1860" s="25" t="s">
        <v>164</v>
      </c>
    </row>
    <row r="1861" spans="1:7">
      <c r="A1861" s="21" t="s">
        <v>1960</v>
      </c>
      <c r="B1861" s="26" t="s">
        <v>163</v>
      </c>
      <c r="C1861" s="22" t="s">
        <v>45</v>
      </c>
      <c r="D1861" s="23">
        <v>1</v>
      </c>
      <c r="E1861" s="24">
        <f>SUM($D$2:D1861)/SUM($D$2:$D$2846)</f>
        <v>0.91631265930331351</v>
      </c>
      <c r="F1861" s="22" t="s">
        <v>53</v>
      </c>
      <c r="G1861" s="25" t="s">
        <v>164</v>
      </c>
    </row>
    <row r="1862" spans="1:7">
      <c r="A1862" s="21" t="s">
        <v>1961</v>
      </c>
      <c r="B1862" s="22" t="s">
        <v>56</v>
      </c>
      <c r="C1862" s="22" t="s">
        <v>124</v>
      </c>
      <c r="D1862" s="23">
        <v>1</v>
      </c>
      <c r="E1862" s="24">
        <f>SUM($D$2:D1862)/SUM($D$2:$D$2846)</f>
        <v>0.91639762107051825</v>
      </c>
      <c r="F1862" s="22" t="s">
        <v>53</v>
      </c>
      <c r="G1862" s="25" t="s">
        <v>125</v>
      </c>
    </row>
    <row r="1863" spans="1:7">
      <c r="A1863" s="21" t="s">
        <v>1962</v>
      </c>
      <c r="B1863" s="22" t="s">
        <v>56</v>
      </c>
      <c r="C1863" s="22" t="s">
        <v>124</v>
      </c>
      <c r="D1863" s="23">
        <v>1</v>
      </c>
      <c r="E1863" s="24">
        <f>SUM($D$2:D1863)/SUM($D$2:$D$2846)</f>
        <v>0.91648258283772299</v>
      </c>
      <c r="F1863" s="22" t="s">
        <v>53</v>
      </c>
      <c r="G1863" s="25" t="s">
        <v>125</v>
      </c>
    </row>
    <row r="1864" spans="1:7">
      <c r="A1864" s="21" t="s">
        <v>1963</v>
      </c>
      <c r="B1864" s="22" t="s">
        <v>56</v>
      </c>
      <c r="C1864" s="22" t="s">
        <v>124</v>
      </c>
      <c r="D1864" s="23">
        <v>1</v>
      </c>
      <c r="E1864" s="24">
        <f>SUM($D$2:D1864)/SUM($D$2:$D$2846)</f>
        <v>0.91656754460492773</v>
      </c>
      <c r="F1864" s="22" t="s">
        <v>53</v>
      </c>
      <c r="G1864" s="25" t="s">
        <v>125</v>
      </c>
    </row>
    <row r="1865" spans="1:7">
      <c r="A1865" s="21" t="s">
        <v>1964</v>
      </c>
      <c r="B1865" s="22" t="s">
        <v>56</v>
      </c>
      <c r="C1865" s="22" t="s">
        <v>124</v>
      </c>
      <c r="D1865" s="23">
        <v>1</v>
      </c>
      <c r="E1865" s="24">
        <f>SUM($D$2:D1865)/SUM($D$2:$D$2846)</f>
        <v>0.91665250637213258</v>
      </c>
      <c r="F1865" s="22" t="s">
        <v>53</v>
      </c>
      <c r="G1865" s="25" t="s">
        <v>125</v>
      </c>
    </row>
    <row r="1866" spans="1:7">
      <c r="A1866" s="21" t="s">
        <v>1965</v>
      </c>
      <c r="B1866" s="22" t="s">
        <v>56</v>
      </c>
      <c r="C1866" s="22" t="s">
        <v>124</v>
      </c>
      <c r="D1866" s="23">
        <v>1</v>
      </c>
      <c r="E1866" s="24">
        <f>SUM($D$2:D1866)/SUM($D$2:$D$2846)</f>
        <v>0.91673746813933732</v>
      </c>
      <c r="F1866" s="22" t="s">
        <v>53</v>
      </c>
      <c r="G1866" s="25" t="s">
        <v>125</v>
      </c>
    </row>
    <row r="1867" spans="1:7">
      <c r="A1867" s="21" t="s">
        <v>1966</v>
      </c>
      <c r="B1867" s="26" t="s">
        <v>163</v>
      </c>
      <c r="C1867" s="22" t="s">
        <v>45</v>
      </c>
      <c r="D1867" s="23">
        <v>1</v>
      </c>
      <c r="E1867" s="24">
        <f>SUM($D$2:D1867)/SUM($D$2:$D$2846)</f>
        <v>0.91682242990654206</v>
      </c>
      <c r="F1867" s="22" t="s">
        <v>53</v>
      </c>
      <c r="G1867" s="25" t="s">
        <v>164</v>
      </c>
    </row>
    <row r="1868" spans="1:7">
      <c r="A1868" s="21" t="s">
        <v>1967</v>
      </c>
      <c r="B1868" s="26" t="s">
        <v>163</v>
      </c>
      <c r="C1868" s="22" t="s">
        <v>45</v>
      </c>
      <c r="D1868" s="23">
        <v>1</v>
      </c>
      <c r="E1868" s="24">
        <f>SUM($D$2:D1868)/SUM($D$2:$D$2846)</f>
        <v>0.9169073916737468</v>
      </c>
      <c r="F1868" s="22" t="s">
        <v>53</v>
      </c>
      <c r="G1868" s="25" t="s">
        <v>164</v>
      </c>
    </row>
    <row r="1869" spans="1:7">
      <c r="A1869" s="21" t="s">
        <v>1968</v>
      </c>
      <c r="B1869" s="22" t="s">
        <v>56</v>
      </c>
      <c r="C1869" s="22" t="s">
        <v>124</v>
      </c>
      <c r="D1869" s="23">
        <v>1</v>
      </c>
      <c r="E1869" s="24">
        <f>SUM($D$2:D1869)/SUM($D$2:$D$2846)</f>
        <v>0.91699235344095154</v>
      </c>
      <c r="F1869" s="22" t="s">
        <v>53</v>
      </c>
      <c r="G1869" s="25" t="s">
        <v>125</v>
      </c>
    </row>
    <row r="1870" spans="1:7">
      <c r="A1870" s="21" t="s">
        <v>1969</v>
      </c>
      <c r="B1870" s="22" t="s">
        <v>56</v>
      </c>
      <c r="C1870" s="22" t="s">
        <v>124</v>
      </c>
      <c r="D1870" s="23">
        <v>1</v>
      </c>
      <c r="E1870" s="24">
        <f>SUM($D$2:D1870)/SUM($D$2:$D$2846)</f>
        <v>0.91707731520815639</v>
      </c>
      <c r="F1870" s="22" t="s">
        <v>53</v>
      </c>
      <c r="G1870" s="25" t="s">
        <v>125</v>
      </c>
    </row>
    <row r="1871" spans="1:7">
      <c r="A1871" s="21" t="s">
        <v>1970</v>
      </c>
      <c r="B1871" s="22" t="s">
        <v>56</v>
      </c>
      <c r="C1871" s="22" t="s">
        <v>124</v>
      </c>
      <c r="D1871" s="23">
        <v>1</v>
      </c>
      <c r="E1871" s="24">
        <f>SUM($D$2:D1871)/SUM($D$2:$D$2846)</f>
        <v>0.91716227697536112</v>
      </c>
      <c r="F1871" s="22" t="s">
        <v>53</v>
      </c>
      <c r="G1871" s="25" t="s">
        <v>125</v>
      </c>
    </row>
    <row r="1872" spans="1:7">
      <c r="A1872" s="21" t="s">
        <v>1971</v>
      </c>
      <c r="B1872" s="22" t="s">
        <v>56</v>
      </c>
      <c r="C1872" s="22" t="s">
        <v>124</v>
      </c>
      <c r="D1872" s="23">
        <v>1</v>
      </c>
      <c r="E1872" s="24">
        <f>SUM($D$2:D1872)/SUM($D$2:$D$2846)</f>
        <v>0.91724723874256586</v>
      </c>
      <c r="F1872" s="22" t="s">
        <v>53</v>
      </c>
      <c r="G1872" s="25" t="s">
        <v>125</v>
      </c>
    </row>
    <row r="1873" spans="1:7">
      <c r="A1873" s="21" t="s">
        <v>1972</v>
      </c>
      <c r="B1873" s="26" t="s">
        <v>163</v>
      </c>
      <c r="C1873" s="22" t="s">
        <v>45</v>
      </c>
      <c r="D1873" s="23">
        <v>1</v>
      </c>
      <c r="E1873" s="24">
        <f>SUM($D$2:D1873)/SUM($D$2:$D$2846)</f>
        <v>0.9173322005097706</v>
      </c>
      <c r="F1873" s="22" t="s">
        <v>53</v>
      </c>
      <c r="G1873" s="25" t="s">
        <v>164</v>
      </c>
    </row>
    <row r="1874" spans="1:7">
      <c r="A1874" s="21" t="s">
        <v>1973</v>
      </c>
      <c r="B1874" s="22" t="s">
        <v>56</v>
      </c>
      <c r="C1874" s="22" t="s">
        <v>124</v>
      </c>
      <c r="D1874" s="23">
        <v>1</v>
      </c>
      <c r="E1874" s="24">
        <f>SUM($D$2:D1874)/SUM($D$2:$D$2846)</f>
        <v>0.91741716227697534</v>
      </c>
      <c r="F1874" s="22" t="s">
        <v>53</v>
      </c>
      <c r="G1874" s="25" t="s">
        <v>125</v>
      </c>
    </row>
    <row r="1875" spans="1:7">
      <c r="A1875" s="21" t="s">
        <v>1974</v>
      </c>
      <c r="B1875" s="26" t="s">
        <v>163</v>
      </c>
      <c r="C1875" s="22" t="s">
        <v>45</v>
      </c>
      <c r="D1875" s="23">
        <v>1</v>
      </c>
      <c r="E1875" s="24">
        <f>SUM($D$2:D1875)/SUM($D$2:$D$2846)</f>
        <v>0.91750212404418008</v>
      </c>
      <c r="F1875" s="22" t="s">
        <v>53</v>
      </c>
      <c r="G1875" s="25" t="s">
        <v>164</v>
      </c>
    </row>
    <row r="1876" spans="1:7">
      <c r="A1876" s="21" t="s">
        <v>1975</v>
      </c>
      <c r="B1876" s="26" t="s">
        <v>163</v>
      </c>
      <c r="C1876" s="22" t="s">
        <v>45</v>
      </c>
      <c r="D1876" s="23">
        <v>1</v>
      </c>
      <c r="E1876" s="24">
        <f>SUM($D$2:D1876)/SUM($D$2:$D$2846)</f>
        <v>0.91758708581138493</v>
      </c>
      <c r="F1876" s="22" t="s">
        <v>53</v>
      </c>
      <c r="G1876" s="25" t="s">
        <v>164</v>
      </c>
    </row>
    <row r="1877" spans="1:7">
      <c r="A1877" s="21" t="s">
        <v>1976</v>
      </c>
      <c r="B1877" s="26" t="s">
        <v>163</v>
      </c>
      <c r="C1877" s="22" t="s">
        <v>45</v>
      </c>
      <c r="D1877" s="23">
        <v>1</v>
      </c>
      <c r="E1877" s="24">
        <f>SUM($D$2:D1877)/SUM($D$2:$D$2846)</f>
        <v>0.91767204757858967</v>
      </c>
      <c r="F1877" s="22" t="s">
        <v>53</v>
      </c>
      <c r="G1877" s="25" t="s">
        <v>164</v>
      </c>
    </row>
    <row r="1878" spans="1:7">
      <c r="A1878" s="21" t="s">
        <v>1977</v>
      </c>
      <c r="B1878" s="22" t="s">
        <v>56</v>
      </c>
      <c r="C1878" s="22" t="s">
        <v>124</v>
      </c>
      <c r="D1878" s="23">
        <v>1</v>
      </c>
      <c r="E1878" s="24">
        <f>SUM($D$2:D1878)/SUM($D$2:$D$2846)</f>
        <v>0.91775700934579441</v>
      </c>
      <c r="F1878" s="22" t="s">
        <v>53</v>
      </c>
      <c r="G1878" s="25" t="s">
        <v>125</v>
      </c>
    </row>
    <row r="1879" spans="1:7">
      <c r="A1879" s="21" t="s">
        <v>1978</v>
      </c>
      <c r="B1879" s="26" t="s">
        <v>163</v>
      </c>
      <c r="C1879" s="22" t="s">
        <v>45</v>
      </c>
      <c r="D1879" s="23">
        <v>1</v>
      </c>
      <c r="E1879" s="24">
        <f>SUM($D$2:D1879)/SUM($D$2:$D$2846)</f>
        <v>0.91784197111299914</v>
      </c>
      <c r="F1879" s="22" t="s">
        <v>53</v>
      </c>
      <c r="G1879" s="25" t="s">
        <v>164</v>
      </c>
    </row>
    <row r="1880" spans="1:7">
      <c r="A1880" s="21" t="s">
        <v>1979</v>
      </c>
      <c r="B1880" s="22" t="s">
        <v>56</v>
      </c>
      <c r="C1880" s="22" t="s">
        <v>124</v>
      </c>
      <c r="D1880" s="23">
        <v>1</v>
      </c>
      <c r="E1880" s="24">
        <f>SUM($D$2:D1880)/SUM($D$2:$D$2846)</f>
        <v>0.91792693288020388</v>
      </c>
      <c r="F1880" s="22" t="s">
        <v>53</v>
      </c>
      <c r="G1880" s="25" t="s">
        <v>125</v>
      </c>
    </row>
    <row r="1881" spans="1:7">
      <c r="A1881" s="21" t="s">
        <v>1980</v>
      </c>
      <c r="B1881" s="22" t="s">
        <v>56</v>
      </c>
      <c r="C1881" s="22" t="s">
        <v>124</v>
      </c>
      <c r="D1881" s="23">
        <v>1</v>
      </c>
      <c r="E1881" s="24">
        <f>SUM($D$2:D1881)/SUM($D$2:$D$2846)</f>
        <v>0.91801189464740862</v>
      </c>
      <c r="F1881" s="22" t="s">
        <v>53</v>
      </c>
      <c r="G1881" s="25" t="s">
        <v>125</v>
      </c>
    </row>
    <row r="1882" spans="1:7">
      <c r="A1882" s="21" t="s">
        <v>1981</v>
      </c>
      <c r="B1882" s="22" t="s">
        <v>56</v>
      </c>
      <c r="C1882" s="22" t="s">
        <v>124</v>
      </c>
      <c r="D1882" s="23">
        <v>1</v>
      </c>
      <c r="E1882" s="24">
        <f>SUM($D$2:D1882)/SUM($D$2:$D$2846)</f>
        <v>0.91809685641461347</v>
      </c>
      <c r="F1882" s="22" t="s">
        <v>53</v>
      </c>
      <c r="G1882" s="25" t="s">
        <v>125</v>
      </c>
    </row>
    <row r="1883" spans="1:7">
      <c r="A1883" s="21" t="s">
        <v>1982</v>
      </c>
      <c r="B1883" s="22" t="s">
        <v>56</v>
      </c>
      <c r="C1883" s="22" t="s">
        <v>124</v>
      </c>
      <c r="D1883" s="23">
        <v>1</v>
      </c>
      <c r="E1883" s="24">
        <f>SUM($D$2:D1883)/SUM($D$2:$D$2846)</f>
        <v>0.91818181818181821</v>
      </c>
      <c r="F1883" s="22" t="s">
        <v>53</v>
      </c>
      <c r="G1883" s="25" t="s">
        <v>125</v>
      </c>
    </row>
    <row r="1884" spans="1:7">
      <c r="A1884" s="21" t="s">
        <v>1983</v>
      </c>
      <c r="B1884" s="22" t="s">
        <v>56</v>
      </c>
      <c r="C1884" s="22" t="s">
        <v>124</v>
      </c>
      <c r="D1884" s="23">
        <v>1</v>
      </c>
      <c r="E1884" s="24">
        <f>SUM($D$2:D1884)/SUM($D$2:$D$2846)</f>
        <v>0.91826677994902295</v>
      </c>
      <c r="F1884" s="22" t="s">
        <v>53</v>
      </c>
      <c r="G1884" s="25" t="s">
        <v>125</v>
      </c>
    </row>
    <row r="1885" spans="1:7">
      <c r="A1885" s="21" t="s">
        <v>1984</v>
      </c>
      <c r="B1885" s="22" t="s">
        <v>56</v>
      </c>
      <c r="C1885" s="22" t="s">
        <v>124</v>
      </c>
      <c r="D1885" s="23">
        <v>1</v>
      </c>
      <c r="E1885" s="24">
        <f>SUM($D$2:D1885)/SUM($D$2:$D$2846)</f>
        <v>0.91835174171622769</v>
      </c>
      <c r="F1885" s="22" t="s">
        <v>53</v>
      </c>
      <c r="G1885" s="25" t="s">
        <v>125</v>
      </c>
    </row>
    <row r="1886" spans="1:7">
      <c r="A1886" s="21" t="s">
        <v>1985</v>
      </c>
      <c r="B1886" s="22" t="s">
        <v>56</v>
      </c>
      <c r="C1886" s="22" t="s">
        <v>124</v>
      </c>
      <c r="D1886" s="23">
        <v>1</v>
      </c>
      <c r="E1886" s="24">
        <f>SUM($D$2:D1886)/SUM($D$2:$D$2846)</f>
        <v>0.91843670348343243</v>
      </c>
      <c r="F1886" s="22" t="s">
        <v>53</v>
      </c>
      <c r="G1886" s="25" t="s">
        <v>125</v>
      </c>
    </row>
    <row r="1887" spans="1:7">
      <c r="A1887" s="21" t="s">
        <v>1986</v>
      </c>
      <c r="B1887" s="22" t="s">
        <v>56</v>
      </c>
      <c r="C1887" s="22" t="s">
        <v>124</v>
      </c>
      <c r="D1887" s="23">
        <v>1</v>
      </c>
      <c r="E1887" s="24">
        <f>SUM($D$2:D1887)/SUM($D$2:$D$2846)</f>
        <v>0.91852166525063716</v>
      </c>
      <c r="F1887" s="22" t="s">
        <v>53</v>
      </c>
      <c r="G1887" s="25" t="s">
        <v>125</v>
      </c>
    </row>
    <row r="1888" spans="1:7">
      <c r="A1888" s="21" t="s">
        <v>1987</v>
      </c>
      <c r="B1888" s="22" t="s">
        <v>56</v>
      </c>
      <c r="C1888" s="22" t="s">
        <v>124</v>
      </c>
      <c r="D1888" s="23">
        <v>1</v>
      </c>
      <c r="E1888" s="24">
        <f>SUM($D$2:D1888)/SUM($D$2:$D$2846)</f>
        <v>0.91860662701784201</v>
      </c>
      <c r="F1888" s="22" t="s">
        <v>53</v>
      </c>
      <c r="G1888" s="25" t="s">
        <v>125</v>
      </c>
    </row>
    <row r="1889" spans="1:7">
      <c r="A1889" s="21" t="s">
        <v>1988</v>
      </c>
      <c r="B1889" s="22" t="s">
        <v>56</v>
      </c>
      <c r="C1889" s="22" t="s">
        <v>124</v>
      </c>
      <c r="D1889" s="23">
        <v>1</v>
      </c>
      <c r="E1889" s="24">
        <f>SUM($D$2:D1889)/SUM($D$2:$D$2846)</f>
        <v>0.91869158878504675</v>
      </c>
      <c r="F1889" s="22" t="s">
        <v>53</v>
      </c>
      <c r="G1889" s="25" t="s">
        <v>125</v>
      </c>
    </row>
    <row r="1890" spans="1:7">
      <c r="A1890" s="21" t="s">
        <v>1989</v>
      </c>
      <c r="B1890" s="22" t="s">
        <v>56</v>
      </c>
      <c r="C1890" s="22" t="s">
        <v>124</v>
      </c>
      <c r="D1890" s="23">
        <v>1</v>
      </c>
      <c r="E1890" s="24">
        <f>SUM($D$2:D1890)/SUM($D$2:$D$2846)</f>
        <v>0.91877655055225149</v>
      </c>
      <c r="F1890" s="22" t="s">
        <v>53</v>
      </c>
      <c r="G1890" s="25" t="s">
        <v>125</v>
      </c>
    </row>
    <row r="1891" spans="1:7">
      <c r="A1891" s="21" t="s">
        <v>1990</v>
      </c>
      <c r="B1891" s="26" t="s">
        <v>163</v>
      </c>
      <c r="C1891" s="22" t="s">
        <v>45</v>
      </c>
      <c r="D1891" s="23">
        <v>1</v>
      </c>
      <c r="E1891" s="24">
        <f>SUM($D$2:D1891)/SUM($D$2:$D$2846)</f>
        <v>0.91886151231945623</v>
      </c>
      <c r="F1891" s="22" t="s">
        <v>53</v>
      </c>
      <c r="G1891" s="25" t="s">
        <v>164</v>
      </c>
    </row>
    <row r="1892" spans="1:7">
      <c r="A1892" s="21" t="s">
        <v>1991</v>
      </c>
      <c r="B1892" s="22" t="s">
        <v>56</v>
      </c>
      <c r="C1892" s="22" t="s">
        <v>124</v>
      </c>
      <c r="D1892" s="23">
        <v>1</v>
      </c>
      <c r="E1892" s="24">
        <f>SUM($D$2:D1892)/SUM($D$2:$D$2846)</f>
        <v>0.91894647408666097</v>
      </c>
      <c r="F1892" s="22" t="s">
        <v>53</v>
      </c>
      <c r="G1892" s="25" t="s">
        <v>125</v>
      </c>
    </row>
    <row r="1893" spans="1:7">
      <c r="A1893" s="21" t="s">
        <v>1992</v>
      </c>
      <c r="B1893" s="22" t="s">
        <v>56</v>
      </c>
      <c r="C1893" s="22" t="s">
        <v>124</v>
      </c>
      <c r="D1893" s="23">
        <v>1</v>
      </c>
      <c r="E1893" s="24">
        <f>SUM($D$2:D1893)/SUM($D$2:$D$2846)</f>
        <v>0.91903143585386571</v>
      </c>
      <c r="F1893" s="22" t="s">
        <v>53</v>
      </c>
      <c r="G1893" s="25" t="s">
        <v>125</v>
      </c>
    </row>
    <row r="1894" spans="1:7">
      <c r="A1894" s="21" t="s">
        <v>1993</v>
      </c>
      <c r="B1894" s="22" t="s">
        <v>56</v>
      </c>
      <c r="C1894" s="22" t="s">
        <v>124</v>
      </c>
      <c r="D1894" s="23">
        <v>1</v>
      </c>
      <c r="E1894" s="24">
        <f>SUM($D$2:D1894)/SUM($D$2:$D$2846)</f>
        <v>0.91911639762107056</v>
      </c>
      <c r="F1894" s="22" t="s">
        <v>53</v>
      </c>
      <c r="G1894" s="25" t="s">
        <v>125</v>
      </c>
    </row>
    <row r="1895" spans="1:7">
      <c r="A1895" s="21" t="s">
        <v>1994</v>
      </c>
      <c r="B1895" s="22" t="s">
        <v>56</v>
      </c>
      <c r="C1895" s="22" t="s">
        <v>124</v>
      </c>
      <c r="D1895" s="23">
        <v>1</v>
      </c>
      <c r="E1895" s="24">
        <f>SUM($D$2:D1895)/SUM($D$2:$D$2846)</f>
        <v>0.9192013593882753</v>
      </c>
      <c r="F1895" s="22" t="s">
        <v>53</v>
      </c>
      <c r="G1895" s="25" t="s">
        <v>125</v>
      </c>
    </row>
    <row r="1896" spans="1:7">
      <c r="A1896" s="21" t="s">
        <v>1995</v>
      </c>
      <c r="B1896" s="26" t="s">
        <v>163</v>
      </c>
      <c r="C1896" s="22" t="s">
        <v>45</v>
      </c>
      <c r="D1896" s="23">
        <v>1</v>
      </c>
      <c r="E1896" s="24">
        <f>SUM($D$2:D1896)/SUM($D$2:$D$2846)</f>
        <v>0.91928632115548004</v>
      </c>
      <c r="F1896" s="22" t="s">
        <v>53</v>
      </c>
      <c r="G1896" s="25" t="s">
        <v>164</v>
      </c>
    </row>
    <row r="1897" spans="1:7">
      <c r="A1897" s="21" t="s">
        <v>1996</v>
      </c>
      <c r="B1897" s="22" t="s">
        <v>56</v>
      </c>
      <c r="C1897" s="22" t="s">
        <v>124</v>
      </c>
      <c r="D1897" s="23">
        <v>1</v>
      </c>
      <c r="E1897" s="24">
        <f>SUM($D$2:D1897)/SUM($D$2:$D$2846)</f>
        <v>0.91937128292268477</v>
      </c>
      <c r="F1897" s="22" t="s">
        <v>53</v>
      </c>
      <c r="G1897" s="25" t="s">
        <v>125</v>
      </c>
    </row>
    <row r="1898" spans="1:7">
      <c r="A1898" s="21" t="s">
        <v>1997</v>
      </c>
      <c r="B1898" s="26" t="s">
        <v>163</v>
      </c>
      <c r="C1898" s="22" t="s">
        <v>45</v>
      </c>
      <c r="D1898" s="23">
        <v>1</v>
      </c>
      <c r="E1898" s="24">
        <f>SUM($D$2:D1898)/SUM($D$2:$D$2846)</f>
        <v>0.91945624468988951</v>
      </c>
      <c r="F1898" s="22" t="s">
        <v>53</v>
      </c>
      <c r="G1898" s="25" t="s">
        <v>164</v>
      </c>
    </row>
    <row r="1899" spans="1:7">
      <c r="A1899" s="21" t="s">
        <v>1998</v>
      </c>
      <c r="B1899" s="22" t="s">
        <v>56</v>
      </c>
      <c r="C1899" s="22" t="s">
        <v>124</v>
      </c>
      <c r="D1899" s="23">
        <v>1</v>
      </c>
      <c r="E1899" s="24">
        <f>SUM($D$2:D1899)/SUM($D$2:$D$2846)</f>
        <v>0.91954120645709436</v>
      </c>
      <c r="F1899" s="22" t="s">
        <v>53</v>
      </c>
      <c r="G1899" s="25" t="s">
        <v>125</v>
      </c>
    </row>
    <row r="1900" spans="1:7">
      <c r="A1900" s="21" t="s">
        <v>1999</v>
      </c>
      <c r="B1900" s="22" t="s">
        <v>56</v>
      </c>
      <c r="C1900" s="22" t="s">
        <v>124</v>
      </c>
      <c r="D1900" s="23">
        <v>1</v>
      </c>
      <c r="E1900" s="24">
        <f>SUM($D$2:D1900)/SUM($D$2:$D$2846)</f>
        <v>0.9196261682242991</v>
      </c>
      <c r="F1900" s="22" t="s">
        <v>53</v>
      </c>
      <c r="G1900" s="25" t="s">
        <v>125</v>
      </c>
    </row>
    <row r="1901" spans="1:7">
      <c r="A1901" s="21" t="s">
        <v>2000</v>
      </c>
      <c r="B1901" s="22" t="s">
        <v>56</v>
      </c>
      <c r="C1901" s="22" t="s">
        <v>124</v>
      </c>
      <c r="D1901" s="23">
        <v>1</v>
      </c>
      <c r="E1901" s="24">
        <f>SUM($D$2:D1901)/SUM($D$2:$D$2846)</f>
        <v>0.91971112999150384</v>
      </c>
      <c r="F1901" s="22" t="s">
        <v>53</v>
      </c>
      <c r="G1901" s="25" t="s">
        <v>125</v>
      </c>
    </row>
    <row r="1902" spans="1:7">
      <c r="A1902" s="21" t="s">
        <v>2001</v>
      </c>
      <c r="B1902" s="22" t="s">
        <v>56</v>
      </c>
      <c r="C1902" s="22" t="s">
        <v>124</v>
      </c>
      <c r="D1902" s="23">
        <v>1</v>
      </c>
      <c r="E1902" s="24">
        <f>SUM($D$2:D1902)/SUM($D$2:$D$2846)</f>
        <v>0.91979609175870858</v>
      </c>
      <c r="F1902" s="22" t="s">
        <v>53</v>
      </c>
      <c r="G1902" s="25" t="s">
        <v>125</v>
      </c>
    </row>
    <row r="1903" spans="1:7">
      <c r="A1903" s="21" t="s">
        <v>2002</v>
      </c>
      <c r="B1903" s="26" t="s">
        <v>163</v>
      </c>
      <c r="C1903" s="22" t="s">
        <v>45</v>
      </c>
      <c r="D1903" s="23">
        <v>1</v>
      </c>
      <c r="E1903" s="24">
        <f>SUM($D$2:D1903)/SUM($D$2:$D$2846)</f>
        <v>0.91988105352591332</v>
      </c>
      <c r="F1903" s="22" t="s">
        <v>53</v>
      </c>
      <c r="G1903" s="25" t="s">
        <v>164</v>
      </c>
    </row>
    <row r="1904" spans="1:7">
      <c r="A1904" s="21" t="s">
        <v>2003</v>
      </c>
      <c r="B1904" s="22" t="s">
        <v>56</v>
      </c>
      <c r="C1904" s="22" t="s">
        <v>124</v>
      </c>
      <c r="D1904" s="23">
        <v>1</v>
      </c>
      <c r="E1904" s="24">
        <f>SUM($D$2:D1904)/SUM($D$2:$D$2846)</f>
        <v>0.91996601529311806</v>
      </c>
      <c r="F1904" s="22" t="s">
        <v>53</v>
      </c>
      <c r="G1904" s="25" t="s">
        <v>125</v>
      </c>
    </row>
    <row r="1905" spans="1:7">
      <c r="A1905" s="21" t="s">
        <v>2004</v>
      </c>
      <c r="B1905" s="22" t="s">
        <v>56</v>
      </c>
      <c r="C1905" s="22" t="s">
        <v>124</v>
      </c>
      <c r="D1905" s="23">
        <v>1</v>
      </c>
      <c r="E1905" s="24">
        <f>SUM($D$2:D1905)/SUM($D$2:$D$2846)</f>
        <v>0.92005097706032291</v>
      </c>
      <c r="F1905" s="22" t="s">
        <v>53</v>
      </c>
      <c r="G1905" s="25" t="s">
        <v>125</v>
      </c>
    </row>
    <row r="1906" spans="1:7">
      <c r="A1906" s="21" t="s">
        <v>2005</v>
      </c>
      <c r="B1906" s="26" t="s">
        <v>163</v>
      </c>
      <c r="C1906" s="22" t="s">
        <v>45</v>
      </c>
      <c r="D1906" s="23">
        <v>1</v>
      </c>
      <c r="E1906" s="24">
        <f>SUM($D$2:D1906)/SUM($D$2:$D$2846)</f>
        <v>0.92013593882752764</v>
      </c>
      <c r="F1906" s="22" t="s">
        <v>53</v>
      </c>
      <c r="G1906" s="25" t="s">
        <v>164</v>
      </c>
    </row>
    <row r="1907" spans="1:7">
      <c r="A1907" s="21" t="s">
        <v>93</v>
      </c>
      <c r="B1907" s="26" t="s">
        <v>44</v>
      </c>
      <c r="C1907" s="22" t="s">
        <v>73</v>
      </c>
      <c r="D1907" s="23">
        <v>1</v>
      </c>
      <c r="E1907" s="24">
        <f>SUM($D$2:D1907)/SUM($D$2:$D$2846)</f>
        <v>0.92022090059473238</v>
      </c>
      <c r="F1907" s="22" t="s">
        <v>53</v>
      </c>
      <c r="G1907" s="25" t="s">
        <v>74</v>
      </c>
    </row>
    <row r="1908" spans="1:7">
      <c r="A1908" s="21" t="s">
        <v>2006</v>
      </c>
      <c r="B1908" s="22" t="s">
        <v>56</v>
      </c>
      <c r="C1908" s="22" t="s">
        <v>124</v>
      </c>
      <c r="D1908" s="23">
        <v>1</v>
      </c>
      <c r="E1908" s="24">
        <f>SUM($D$2:D1908)/SUM($D$2:$D$2846)</f>
        <v>0.92030586236193712</v>
      </c>
      <c r="F1908" s="22" t="s">
        <v>53</v>
      </c>
      <c r="G1908" s="25" t="s">
        <v>125</v>
      </c>
    </row>
    <row r="1909" spans="1:7">
      <c r="A1909" s="21" t="s">
        <v>2007</v>
      </c>
      <c r="B1909" s="22" t="s">
        <v>56</v>
      </c>
      <c r="C1909" s="22" t="s">
        <v>124</v>
      </c>
      <c r="D1909" s="23">
        <v>1</v>
      </c>
      <c r="E1909" s="24">
        <f>SUM($D$2:D1909)/SUM($D$2:$D$2846)</f>
        <v>0.92039082412914186</v>
      </c>
      <c r="F1909" s="22" t="s">
        <v>53</v>
      </c>
      <c r="G1909" s="25" t="s">
        <v>125</v>
      </c>
    </row>
    <row r="1910" spans="1:7">
      <c r="A1910" s="21" t="s">
        <v>2008</v>
      </c>
      <c r="B1910" s="22" t="s">
        <v>56</v>
      </c>
      <c r="C1910" s="22" t="s">
        <v>124</v>
      </c>
      <c r="D1910" s="23">
        <v>1</v>
      </c>
      <c r="E1910" s="24">
        <f>SUM($D$2:D1910)/SUM($D$2:$D$2846)</f>
        <v>0.9204757858963466</v>
      </c>
      <c r="F1910" s="22" t="s">
        <v>53</v>
      </c>
      <c r="G1910" s="25" t="s">
        <v>125</v>
      </c>
    </row>
    <row r="1911" spans="1:7">
      <c r="A1911" s="21" t="s">
        <v>2009</v>
      </c>
      <c r="B1911" s="22" t="s">
        <v>56</v>
      </c>
      <c r="C1911" s="22" t="s">
        <v>124</v>
      </c>
      <c r="D1911" s="23">
        <v>1</v>
      </c>
      <c r="E1911" s="24">
        <f>SUM($D$2:D1911)/SUM($D$2:$D$2846)</f>
        <v>0.92056074766355145</v>
      </c>
      <c r="F1911" s="22" t="s">
        <v>53</v>
      </c>
      <c r="G1911" s="25" t="s">
        <v>125</v>
      </c>
    </row>
    <row r="1912" spans="1:7">
      <c r="A1912" s="21" t="s">
        <v>2010</v>
      </c>
      <c r="B1912" s="22" t="s">
        <v>56</v>
      </c>
      <c r="C1912" s="22" t="s">
        <v>124</v>
      </c>
      <c r="D1912" s="23">
        <v>1</v>
      </c>
      <c r="E1912" s="24">
        <f>SUM($D$2:D1912)/SUM($D$2:$D$2846)</f>
        <v>0.92064570943075619</v>
      </c>
      <c r="F1912" s="22" t="s">
        <v>53</v>
      </c>
      <c r="G1912" s="25" t="s">
        <v>125</v>
      </c>
    </row>
    <row r="1913" spans="1:7">
      <c r="A1913" s="21" t="s">
        <v>2011</v>
      </c>
      <c r="B1913" s="22" t="s">
        <v>56</v>
      </c>
      <c r="C1913" s="22" t="s">
        <v>124</v>
      </c>
      <c r="D1913" s="23">
        <v>1</v>
      </c>
      <c r="E1913" s="24">
        <f>SUM($D$2:D1913)/SUM($D$2:$D$2846)</f>
        <v>0.92073067119796093</v>
      </c>
      <c r="F1913" s="22" t="s">
        <v>53</v>
      </c>
      <c r="G1913" s="25" t="s">
        <v>125</v>
      </c>
    </row>
    <row r="1914" spans="1:7">
      <c r="A1914" s="21" t="s">
        <v>2012</v>
      </c>
      <c r="B1914" s="22" t="s">
        <v>56</v>
      </c>
      <c r="C1914" s="22" t="s">
        <v>124</v>
      </c>
      <c r="D1914" s="23">
        <v>1</v>
      </c>
      <c r="E1914" s="24">
        <f>SUM($D$2:D1914)/SUM($D$2:$D$2846)</f>
        <v>0.92081563296516566</v>
      </c>
      <c r="F1914" s="22" t="s">
        <v>53</v>
      </c>
      <c r="G1914" s="25" t="s">
        <v>125</v>
      </c>
    </row>
    <row r="1915" spans="1:7">
      <c r="A1915" s="21" t="s">
        <v>2013</v>
      </c>
      <c r="B1915" s="22" t="s">
        <v>56</v>
      </c>
      <c r="C1915" s="22" t="s">
        <v>124</v>
      </c>
      <c r="D1915" s="23">
        <v>1</v>
      </c>
      <c r="E1915" s="24">
        <f>SUM($D$2:D1915)/SUM($D$2:$D$2846)</f>
        <v>0.9209005947323704</v>
      </c>
      <c r="F1915" s="22" t="s">
        <v>53</v>
      </c>
      <c r="G1915" s="25" t="s">
        <v>125</v>
      </c>
    </row>
    <row r="1916" spans="1:7">
      <c r="A1916" s="21" t="s">
        <v>2014</v>
      </c>
      <c r="B1916" s="22" t="s">
        <v>56</v>
      </c>
      <c r="C1916" s="22" t="s">
        <v>124</v>
      </c>
      <c r="D1916" s="23">
        <v>1</v>
      </c>
      <c r="E1916" s="24">
        <f>SUM($D$2:D1916)/SUM($D$2:$D$2846)</f>
        <v>0.92098555649957514</v>
      </c>
      <c r="F1916" s="22" t="s">
        <v>53</v>
      </c>
      <c r="G1916" s="25" t="s">
        <v>125</v>
      </c>
    </row>
    <row r="1917" spans="1:7">
      <c r="A1917" s="21" t="s">
        <v>2015</v>
      </c>
      <c r="B1917" s="26" t="s">
        <v>163</v>
      </c>
      <c r="C1917" s="22" t="s">
        <v>45</v>
      </c>
      <c r="D1917" s="23">
        <v>1</v>
      </c>
      <c r="E1917" s="24">
        <f>SUM($D$2:D1917)/SUM($D$2:$D$2846)</f>
        <v>0.92107051826677999</v>
      </c>
      <c r="F1917" s="22" t="s">
        <v>53</v>
      </c>
      <c r="G1917" s="25" t="s">
        <v>164</v>
      </c>
    </row>
    <row r="1918" spans="1:7">
      <c r="A1918" s="21" t="s">
        <v>2016</v>
      </c>
      <c r="B1918" s="22" t="s">
        <v>56</v>
      </c>
      <c r="C1918" s="22" t="s">
        <v>124</v>
      </c>
      <c r="D1918" s="23">
        <v>1</v>
      </c>
      <c r="E1918" s="24">
        <f>SUM($D$2:D1918)/SUM($D$2:$D$2846)</f>
        <v>0.92115548003398473</v>
      </c>
      <c r="F1918" s="22" t="s">
        <v>53</v>
      </c>
      <c r="G1918" s="25" t="s">
        <v>125</v>
      </c>
    </row>
    <row r="1919" spans="1:7">
      <c r="A1919" s="21" t="s">
        <v>2017</v>
      </c>
      <c r="B1919" s="22" t="s">
        <v>56</v>
      </c>
      <c r="C1919" s="22" t="s">
        <v>124</v>
      </c>
      <c r="D1919" s="23">
        <v>1</v>
      </c>
      <c r="E1919" s="24">
        <f>SUM($D$2:D1919)/SUM($D$2:$D$2846)</f>
        <v>0.92124044180118947</v>
      </c>
      <c r="F1919" s="22" t="s">
        <v>53</v>
      </c>
      <c r="G1919" s="25" t="s">
        <v>125</v>
      </c>
    </row>
    <row r="1920" spans="1:7">
      <c r="A1920" s="21" t="s">
        <v>2018</v>
      </c>
      <c r="B1920" s="22" t="s">
        <v>56</v>
      </c>
      <c r="C1920" s="22" t="s">
        <v>124</v>
      </c>
      <c r="D1920" s="23">
        <v>1</v>
      </c>
      <c r="E1920" s="24">
        <f>SUM($D$2:D1920)/SUM($D$2:$D$2846)</f>
        <v>0.92132540356839421</v>
      </c>
      <c r="F1920" s="22" t="s">
        <v>53</v>
      </c>
      <c r="G1920" s="25" t="s">
        <v>125</v>
      </c>
    </row>
    <row r="1921" spans="1:7">
      <c r="A1921" s="21" t="s">
        <v>2019</v>
      </c>
      <c r="B1921" s="22" t="s">
        <v>56</v>
      </c>
      <c r="C1921" s="22" t="s">
        <v>124</v>
      </c>
      <c r="D1921" s="23">
        <v>1</v>
      </c>
      <c r="E1921" s="24">
        <f>SUM($D$2:D1921)/SUM($D$2:$D$2846)</f>
        <v>0.92141036533559895</v>
      </c>
      <c r="F1921" s="22" t="s">
        <v>53</v>
      </c>
      <c r="G1921" s="25" t="s">
        <v>125</v>
      </c>
    </row>
    <row r="1922" spans="1:7">
      <c r="A1922" s="21" t="s">
        <v>94</v>
      </c>
      <c r="B1922" s="26" t="s">
        <v>56</v>
      </c>
      <c r="C1922" s="22" t="s">
        <v>45</v>
      </c>
      <c r="D1922" s="23">
        <v>1</v>
      </c>
      <c r="E1922" s="24">
        <f>SUM($D$2:D1922)/SUM($D$2:$D$2846)</f>
        <v>0.92149532710280369</v>
      </c>
      <c r="F1922" s="22" t="s">
        <v>53</v>
      </c>
      <c r="G1922" s="25" t="s">
        <v>47</v>
      </c>
    </row>
    <row r="1923" spans="1:7">
      <c r="A1923" s="21" t="s">
        <v>2020</v>
      </c>
      <c r="B1923" s="22" t="s">
        <v>56</v>
      </c>
      <c r="C1923" s="22" t="s">
        <v>124</v>
      </c>
      <c r="D1923" s="23">
        <v>1</v>
      </c>
      <c r="E1923" s="24">
        <f>SUM($D$2:D1923)/SUM($D$2:$D$2846)</f>
        <v>0.92158028887000853</v>
      </c>
      <c r="F1923" s="22" t="s">
        <v>53</v>
      </c>
      <c r="G1923" s="25" t="s">
        <v>125</v>
      </c>
    </row>
    <row r="1924" spans="1:7">
      <c r="A1924" s="21" t="s">
        <v>2021</v>
      </c>
      <c r="B1924" s="22" t="s">
        <v>56</v>
      </c>
      <c r="C1924" s="22" t="s">
        <v>124</v>
      </c>
      <c r="D1924" s="23">
        <v>1</v>
      </c>
      <c r="E1924" s="24">
        <f>SUM($D$2:D1924)/SUM($D$2:$D$2846)</f>
        <v>0.92166525063721327</v>
      </c>
      <c r="F1924" s="22" t="s">
        <v>53</v>
      </c>
      <c r="G1924" s="25" t="s">
        <v>125</v>
      </c>
    </row>
    <row r="1925" spans="1:7">
      <c r="A1925" s="21" t="s">
        <v>2022</v>
      </c>
      <c r="B1925" s="22" t="s">
        <v>56</v>
      </c>
      <c r="C1925" s="22" t="s">
        <v>124</v>
      </c>
      <c r="D1925" s="23">
        <v>1</v>
      </c>
      <c r="E1925" s="24">
        <f>SUM($D$2:D1925)/SUM($D$2:$D$2846)</f>
        <v>0.92175021240441801</v>
      </c>
      <c r="F1925" s="22" t="s">
        <v>53</v>
      </c>
      <c r="G1925" s="25" t="s">
        <v>125</v>
      </c>
    </row>
    <row r="1926" spans="1:7">
      <c r="A1926" s="21" t="s">
        <v>2023</v>
      </c>
      <c r="B1926" s="22" t="s">
        <v>56</v>
      </c>
      <c r="C1926" s="22" t="s">
        <v>124</v>
      </c>
      <c r="D1926" s="23">
        <v>1</v>
      </c>
      <c r="E1926" s="24">
        <f>SUM($D$2:D1926)/SUM($D$2:$D$2846)</f>
        <v>0.92183517417162275</v>
      </c>
      <c r="F1926" s="22" t="s">
        <v>53</v>
      </c>
      <c r="G1926" s="25" t="s">
        <v>125</v>
      </c>
    </row>
    <row r="1927" spans="1:7">
      <c r="A1927" s="21" t="s">
        <v>2024</v>
      </c>
      <c r="B1927" s="22" t="s">
        <v>56</v>
      </c>
      <c r="C1927" s="22" t="s">
        <v>124</v>
      </c>
      <c r="D1927" s="23">
        <v>1</v>
      </c>
      <c r="E1927" s="24">
        <f>SUM($D$2:D1927)/SUM($D$2:$D$2846)</f>
        <v>0.92192013593882749</v>
      </c>
      <c r="F1927" s="22" t="s">
        <v>53</v>
      </c>
      <c r="G1927" s="25" t="s">
        <v>125</v>
      </c>
    </row>
    <row r="1928" spans="1:7">
      <c r="A1928" s="21" t="s">
        <v>2025</v>
      </c>
      <c r="B1928" s="22" t="s">
        <v>56</v>
      </c>
      <c r="C1928" s="22" t="s">
        <v>124</v>
      </c>
      <c r="D1928" s="23">
        <v>1</v>
      </c>
      <c r="E1928" s="24">
        <f>SUM($D$2:D1928)/SUM($D$2:$D$2846)</f>
        <v>0.92200509770603234</v>
      </c>
      <c r="F1928" s="22" t="s">
        <v>53</v>
      </c>
      <c r="G1928" s="25" t="s">
        <v>125</v>
      </c>
    </row>
    <row r="1929" spans="1:7">
      <c r="A1929" s="21" t="s">
        <v>2026</v>
      </c>
      <c r="B1929" s="22" t="s">
        <v>56</v>
      </c>
      <c r="C1929" s="22" t="s">
        <v>124</v>
      </c>
      <c r="D1929" s="23">
        <v>1</v>
      </c>
      <c r="E1929" s="24">
        <f>SUM($D$2:D1929)/SUM($D$2:$D$2846)</f>
        <v>0.92209005947323708</v>
      </c>
      <c r="F1929" s="22" t="s">
        <v>53</v>
      </c>
      <c r="G1929" s="25" t="s">
        <v>125</v>
      </c>
    </row>
    <row r="1930" spans="1:7">
      <c r="A1930" s="21" t="s">
        <v>2027</v>
      </c>
      <c r="B1930" s="22" t="s">
        <v>56</v>
      </c>
      <c r="C1930" s="22" t="s">
        <v>124</v>
      </c>
      <c r="D1930" s="23">
        <v>1</v>
      </c>
      <c r="E1930" s="24">
        <f>SUM($D$2:D1930)/SUM($D$2:$D$2846)</f>
        <v>0.92217502124044182</v>
      </c>
      <c r="F1930" s="22" t="s">
        <v>53</v>
      </c>
      <c r="G1930" s="25" t="s">
        <v>125</v>
      </c>
    </row>
    <row r="1931" spans="1:7">
      <c r="A1931" s="21" t="s">
        <v>2028</v>
      </c>
      <c r="B1931" s="22" t="s">
        <v>56</v>
      </c>
      <c r="C1931" s="22" t="s">
        <v>124</v>
      </c>
      <c r="D1931" s="23">
        <v>1</v>
      </c>
      <c r="E1931" s="24">
        <f>SUM($D$2:D1931)/SUM($D$2:$D$2846)</f>
        <v>0.92225998300764656</v>
      </c>
      <c r="F1931" s="22" t="s">
        <v>53</v>
      </c>
      <c r="G1931" s="25" t="s">
        <v>125</v>
      </c>
    </row>
    <row r="1932" spans="1:7">
      <c r="A1932" s="21" t="s">
        <v>2029</v>
      </c>
      <c r="B1932" s="22" t="s">
        <v>56</v>
      </c>
      <c r="C1932" s="22" t="s">
        <v>124</v>
      </c>
      <c r="D1932" s="23">
        <v>1</v>
      </c>
      <c r="E1932" s="24">
        <f>SUM($D$2:D1932)/SUM($D$2:$D$2846)</f>
        <v>0.92234494477485129</v>
      </c>
      <c r="F1932" s="22" t="s">
        <v>53</v>
      </c>
      <c r="G1932" s="25" t="s">
        <v>125</v>
      </c>
    </row>
    <row r="1933" spans="1:7">
      <c r="A1933" s="21" t="s">
        <v>2030</v>
      </c>
      <c r="B1933" s="26" t="s">
        <v>163</v>
      </c>
      <c r="C1933" s="22" t="s">
        <v>45</v>
      </c>
      <c r="D1933" s="23">
        <v>1</v>
      </c>
      <c r="E1933" s="24">
        <f>SUM($D$2:D1933)/SUM($D$2:$D$2846)</f>
        <v>0.92242990654205603</v>
      </c>
      <c r="F1933" s="22" t="s">
        <v>53</v>
      </c>
      <c r="G1933" s="25" t="s">
        <v>164</v>
      </c>
    </row>
    <row r="1934" spans="1:7">
      <c r="A1934" s="21" t="s">
        <v>2031</v>
      </c>
      <c r="B1934" s="26" t="s">
        <v>163</v>
      </c>
      <c r="C1934" s="22" t="s">
        <v>45</v>
      </c>
      <c r="D1934" s="23">
        <v>1</v>
      </c>
      <c r="E1934" s="24">
        <f>SUM($D$2:D1934)/SUM($D$2:$D$2846)</f>
        <v>0.92251486830926088</v>
      </c>
      <c r="F1934" s="22" t="s">
        <v>53</v>
      </c>
      <c r="G1934" s="25" t="s">
        <v>164</v>
      </c>
    </row>
    <row r="1935" spans="1:7">
      <c r="A1935" s="21" t="s">
        <v>2032</v>
      </c>
      <c r="B1935" s="22" t="s">
        <v>56</v>
      </c>
      <c r="C1935" s="22" t="s">
        <v>124</v>
      </c>
      <c r="D1935" s="23">
        <v>1</v>
      </c>
      <c r="E1935" s="24">
        <f>SUM($D$2:D1935)/SUM($D$2:$D$2846)</f>
        <v>0.92259983007646562</v>
      </c>
      <c r="F1935" s="22" t="s">
        <v>53</v>
      </c>
      <c r="G1935" s="25" t="s">
        <v>125</v>
      </c>
    </row>
    <row r="1936" spans="1:7">
      <c r="A1936" s="21" t="s">
        <v>2033</v>
      </c>
      <c r="B1936" s="26" t="s">
        <v>163</v>
      </c>
      <c r="C1936" s="22" t="s">
        <v>45</v>
      </c>
      <c r="D1936" s="23">
        <v>1</v>
      </c>
      <c r="E1936" s="24">
        <f>SUM($D$2:D1936)/SUM($D$2:$D$2846)</f>
        <v>0.92268479184367036</v>
      </c>
      <c r="F1936" s="22" t="s">
        <v>53</v>
      </c>
      <c r="G1936" s="25" t="s">
        <v>164</v>
      </c>
    </row>
    <row r="1937" spans="1:7">
      <c r="A1937" s="21" t="s">
        <v>2034</v>
      </c>
      <c r="B1937" s="22" t="s">
        <v>56</v>
      </c>
      <c r="C1937" s="22" t="s">
        <v>124</v>
      </c>
      <c r="D1937" s="23">
        <v>1</v>
      </c>
      <c r="E1937" s="24">
        <f>SUM($D$2:D1937)/SUM($D$2:$D$2846)</f>
        <v>0.9227697536108751</v>
      </c>
      <c r="F1937" s="22" t="s">
        <v>53</v>
      </c>
      <c r="G1937" s="25" t="s">
        <v>125</v>
      </c>
    </row>
    <row r="1938" spans="1:7">
      <c r="A1938" s="21" t="s">
        <v>2035</v>
      </c>
      <c r="B1938" s="26" t="s">
        <v>163</v>
      </c>
      <c r="C1938" s="22" t="s">
        <v>45</v>
      </c>
      <c r="D1938" s="23">
        <v>1</v>
      </c>
      <c r="E1938" s="24">
        <f>SUM($D$2:D1938)/SUM($D$2:$D$2846)</f>
        <v>0.92285471537807984</v>
      </c>
      <c r="F1938" s="22" t="s">
        <v>53</v>
      </c>
      <c r="G1938" s="25" t="s">
        <v>164</v>
      </c>
    </row>
    <row r="1939" spans="1:7">
      <c r="A1939" s="21" t="s">
        <v>2036</v>
      </c>
      <c r="B1939" s="22" t="s">
        <v>56</v>
      </c>
      <c r="C1939" s="22" t="s">
        <v>124</v>
      </c>
      <c r="D1939" s="23">
        <v>1</v>
      </c>
      <c r="E1939" s="24">
        <f>SUM($D$2:D1939)/SUM($D$2:$D$2846)</f>
        <v>0.92293967714528458</v>
      </c>
      <c r="F1939" s="22" t="s">
        <v>53</v>
      </c>
      <c r="G1939" s="25" t="s">
        <v>125</v>
      </c>
    </row>
    <row r="1940" spans="1:7">
      <c r="A1940" s="21" t="s">
        <v>2037</v>
      </c>
      <c r="B1940" s="22" t="s">
        <v>56</v>
      </c>
      <c r="C1940" s="22" t="s">
        <v>124</v>
      </c>
      <c r="D1940" s="23">
        <v>1</v>
      </c>
      <c r="E1940" s="24">
        <f>SUM($D$2:D1940)/SUM($D$2:$D$2846)</f>
        <v>0.92302463891248943</v>
      </c>
      <c r="F1940" s="22" t="s">
        <v>53</v>
      </c>
      <c r="G1940" s="25" t="s">
        <v>125</v>
      </c>
    </row>
    <row r="1941" spans="1:7">
      <c r="A1941" s="21" t="s">
        <v>2038</v>
      </c>
      <c r="B1941" s="22" t="s">
        <v>56</v>
      </c>
      <c r="C1941" s="22" t="s">
        <v>124</v>
      </c>
      <c r="D1941" s="23">
        <v>1</v>
      </c>
      <c r="E1941" s="24">
        <f>SUM($D$2:D1941)/SUM($D$2:$D$2846)</f>
        <v>0.92310960067969416</v>
      </c>
      <c r="F1941" s="22" t="s">
        <v>53</v>
      </c>
      <c r="G1941" s="25" t="s">
        <v>125</v>
      </c>
    </row>
    <row r="1942" spans="1:7">
      <c r="A1942" s="21" t="s">
        <v>2039</v>
      </c>
      <c r="B1942" s="26" t="s">
        <v>163</v>
      </c>
      <c r="C1942" s="22" t="s">
        <v>45</v>
      </c>
      <c r="D1942" s="23">
        <v>1</v>
      </c>
      <c r="E1942" s="24">
        <f>SUM($D$2:D1942)/SUM($D$2:$D$2846)</f>
        <v>0.9231945624468989</v>
      </c>
      <c r="F1942" s="22" t="s">
        <v>53</v>
      </c>
      <c r="G1942" s="25" t="s">
        <v>164</v>
      </c>
    </row>
    <row r="1943" spans="1:7">
      <c r="A1943" s="21" t="s">
        <v>2040</v>
      </c>
      <c r="B1943" s="22" t="s">
        <v>56</v>
      </c>
      <c r="C1943" s="22" t="s">
        <v>124</v>
      </c>
      <c r="D1943" s="23">
        <v>1</v>
      </c>
      <c r="E1943" s="24">
        <f>SUM($D$2:D1943)/SUM($D$2:$D$2846)</f>
        <v>0.92327952421410364</v>
      </c>
      <c r="F1943" s="22" t="s">
        <v>53</v>
      </c>
      <c r="G1943" s="25" t="s">
        <v>125</v>
      </c>
    </row>
    <row r="1944" spans="1:7">
      <c r="A1944" s="21" t="s">
        <v>2041</v>
      </c>
      <c r="B1944" s="22" t="s">
        <v>56</v>
      </c>
      <c r="C1944" s="22" t="s">
        <v>124</v>
      </c>
      <c r="D1944" s="23">
        <v>1</v>
      </c>
      <c r="E1944" s="24">
        <f>SUM($D$2:D1944)/SUM($D$2:$D$2846)</f>
        <v>0.92336448598130838</v>
      </c>
      <c r="F1944" s="22" t="s">
        <v>53</v>
      </c>
      <c r="G1944" s="25" t="s">
        <v>125</v>
      </c>
    </row>
    <row r="1945" spans="1:7">
      <c r="A1945" s="21" t="s">
        <v>2042</v>
      </c>
      <c r="B1945" s="22" t="s">
        <v>56</v>
      </c>
      <c r="C1945" s="22" t="s">
        <v>124</v>
      </c>
      <c r="D1945" s="23">
        <v>1</v>
      </c>
      <c r="E1945" s="24">
        <f>SUM($D$2:D1945)/SUM($D$2:$D$2846)</f>
        <v>0.92344944774851312</v>
      </c>
      <c r="F1945" s="22" t="s">
        <v>53</v>
      </c>
      <c r="G1945" s="25" t="s">
        <v>125</v>
      </c>
    </row>
    <row r="1946" spans="1:7">
      <c r="A1946" s="21" t="s">
        <v>2043</v>
      </c>
      <c r="B1946" s="22" t="s">
        <v>56</v>
      </c>
      <c r="C1946" s="22" t="s">
        <v>124</v>
      </c>
      <c r="D1946" s="23">
        <v>1</v>
      </c>
      <c r="E1946" s="24">
        <f>SUM($D$2:D1946)/SUM($D$2:$D$2846)</f>
        <v>0.92353440951571797</v>
      </c>
      <c r="F1946" s="22" t="s">
        <v>53</v>
      </c>
      <c r="G1946" s="25" t="s">
        <v>125</v>
      </c>
    </row>
    <row r="1947" spans="1:7">
      <c r="A1947" s="21" t="s">
        <v>2044</v>
      </c>
      <c r="B1947" s="22" t="s">
        <v>56</v>
      </c>
      <c r="C1947" s="22" t="s">
        <v>124</v>
      </c>
      <c r="D1947" s="23">
        <v>1</v>
      </c>
      <c r="E1947" s="24">
        <f>SUM($D$2:D1947)/SUM($D$2:$D$2846)</f>
        <v>0.92361937128292271</v>
      </c>
      <c r="F1947" s="22" t="s">
        <v>53</v>
      </c>
      <c r="G1947" s="25" t="s">
        <v>125</v>
      </c>
    </row>
    <row r="1948" spans="1:7">
      <c r="A1948" s="21" t="s">
        <v>2045</v>
      </c>
      <c r="B1948" s="22" t="s">
        <v>56</v>
      </c>
      <c r="C1948" s="22" t="s">
        <v>124</v>
      </c>
      <c r="D1948" s="23">
        <v>1</v>
      </c>
      <c r="E1948" s="24">
        <f>SUM($D$2:D1948)/SUM($D$2:$D$2846)</f>
        <v>0.92370433305012745</v>
      </c>
      <c r="F1948" s="22" t="s">
        <v>53</v>
      </c>
      <c r="G1948" s="25" t="s">
        <v>125</v>
      </c>
    </row>
    <row r="1949" spans="1:7">
      <c r="A1949" s="21" t="s">
        <v>2046</v>
      </c>
      <c r="B1949" s="26" t="s">
        <v>163</v>
      </c>
      <c r="C1949" s="22" t="s">
        <v>45</v>
      </c>
      <c r="D1949" s="23">
        <v>1</v>
      </c>
      <c r="E1949" s="24">
        <f>SUM($D$2:D1949)/SUM($D$2:$D$2846)</f>
        <v>0.92378929481733218</v>
      </c>
      <c r="F1949" s="22" t="s">
        <v>53</v>
      </c>
      <c r="G1949" s="25" t="s">
        <v>164</v>
      </c>
    </row>
    <row r="1950" spans="1:7">
      <c r="A1950" s="21" t="s">
        <v>2047</v>
      </c>
      <c r="B1950" s="22" t="s">
        <v>56</v>
      </c>
      <c r="C1950" s="22" t="s">
        <v>124</v>
      </c>
      <c r="D1950" s="23">
        <v>1</v>
      </c>
      <c r="E1950" s="24">
        <f>SUM($D$2:D1950)/SUM($D$2:$D$2846)</f>
        <v>0.92387425658453692</v>
      </c>
      <c r="F1950" s="22" t="s">
        <v>53</v>
      </c>
      <c r="G1950" s="25" t="s">
        <v>125</v>
      </c>
    </row>
    <row r="1951" spans="1:7">
      <c r="A1951" s="21" t="s">
        <v>2048</v>
      </c>
      <c r="B1951" s="22" t="s">
        <v>56</v>
      </c>
      <c r="C1951" s="22" t="s">
        <v>124</v>
      </c>
      <c r="D1951" s="23">
        <v>1</v>
      </c>
      <c r="E1951" s="24">
        <f>SUM($D$2:D1951)/SUM($D$2:$D$2846)</f>
        <v>0.92395921835174166</v>
      </c>
      <c r="F1951" s="22" t="s">
        <v>53</v>
      </c>
      <c r="G1951" s="25" t="s">
        <v>125</v>
      </c>
    </row>
    <row r="1952" spans="1:7">
      <c r="A1952" s="21" t="s">
        <v>95</v>
      </c>
      <c r="B1952" s="26" t="s">
        <v>56</v>
      </c>
      <c r="C1952" s="22" t="s">
        <v>45</v>
      </c>
      <c r="D1952" s="23">
        <v>1</v>
      </c>
      <c r="E1952" s="24">
        <f>SUM($D$2:D1952)/SUM($D$2:$D$2846)</f>
        <v>0.92404418011894651</v>
      </c>
      <c r="F1952" s="22" t="s">
        <v>53</v>
      </c>
      <c r="G1952" s="25" t="s">
        <v>47</v>
      </c>
    </row>
    <row r="1953" spans="1:7">
      <c r="A1953" s="21" t="s">
        <v>2049</v>
      </c>
      <c r="B1953" s="22" t="s">
        <v>56</v>
      </c>
      <c r="C1953" s="22" t="s">
        <v>124</v>
      </c>
      <c r="D1953" s="23">
        <v>1</v>
      </c>
      <c r="E1953" s="24">
        <f>SUM($D$2:D1953)/SUM($D$2:$D$2846)</f>
        <v>0.92412914188615125</v>
      </c>
      <c r="F1953" s="22" t="s">
        <v>53</v>
      </c>
      <c r="G1953" s="25" t="s">
        <v>125</v>
      </c>
    </row>
    <row r="1954" spans="1:7">
      <c r="A1954" s="21" t="s">
        <v>2050</v>
      </c>
      <c r="B1954" s="26" t="s">
        <v>163</v>
      </c>
      <c r="C1954" s="22" t="s">
        <v>45</v>
      </c>
      <c r="D1954" s="23">
        <v>1</v>
      </c>
      <c r="E1954" s="24">
        <f>SUM($D$2:D1954)/SUM($D$2:$D$2846)</f>
        <v>0.92421410365335599</v>
      </c>
      <c r="F1954" s="22" t="s">
        <v>53</v>
      </c>
      <c r="G1954" s="25" t="s">
        <v>164</v>
      </c>
    </row>
    <row r="1955" spans="1:7">
      <c r="A1955" s="21" t="s">
        <v>2051</v>
      </c>
      <c r="B1955" s="22" t="s">
        <v>56</v>
      </c>
      <c r="C1955" s="22" t="s">
        <v>124</v>
      </c>
      <c r="D1955" s="23">
        <v>1</v>
      </c>
      <c r="E1955" s="24">
        <f>SUM($D$2:D1955)/SUM($D$2:$D$2846)</f>
        <v>0.92429906542056073</v>
      </c>
      <c r="F1955" s="22" t="s">
        <v>53</v>
      </c>
      <c r="G1955" s="25" t="s">
        <v>125</v>
      </c>
    </row>
    <row r="1956" spans="1:7">
      <c r="A1956" s="21" t="s">
        <v>2052</v>
      </c>
      <c r="B1956" s="22" t="s">
        <v>56</v>
      </c>
      <c r="C1956" s="22" t="s">
        <v>124</v>
      </c>
      <c r="D1956" s="23">
        <v>1</v>
      </c>
      <c r="E1956" s="24">
        <f>SUM($D$2:D1956)/SUM($D$2:$D$2846)</f>
        <v>0.92438402718776547</v>
      </c>
      <c r="F1956" s="22" t="s">
        <v>53</v>
      </c>
      <c r="G1956" s="25" t="s">
        <v>125</v>
      </c>
    </row>
    <row r="1957" spans="1:7">
      <c r="A1957" s="21" t="s">
        <v>2053</v>
      </c>
      <c r="B1957" s="22" t="s">
        <v>56</v>
      </c>
      <c r="C1957" s="22" t="s">
        <v>124</v>
      </c>
      <c r="D1957" s="23">
        <v>1</v>
      </c>
      <c r="E1957" s="24">
        <f>SUM($D$2:D1957)/SUM($D$2:$D$2846)</f>
        <v>0.92446898895497032</v>
      </c>
      <c r="F1957" s="22" t="s">
        <v>53</v>
      </c>
      <c r="G1957" s="25" t="s">
        <v>125</v>
      </c>
    </row>
    <row r="1958" spans="1:7">
      <c r="A1958" s="21" t="s">
        <v>2054</v>
      </c>
      <c r="B1958" s="26" t="s">
        <v>163</v>
      </c>
      <c r="C1958" s="22" t="s">
        <v>45</v>
      </c>
      <c r="D1958" s="23">
        <v>1</v>
      </c>
      <c r="E1958" s="24">
        <f>SUM($D$2:D1958)/SUM($D$2:$D$2846)</f>
        <v>0.92455395072217506</v>
      </c>
      <c r="F1958" s="22" t="s">
        <v>53</v>
      </c>
      <c r="G1958" s="25" t="s">
        <v>164</v>
      </c>
    </row>
    <row r="1959" spans="1:7">
      <c r="A1959" s="21" t="s">
        <v>2055</v>
      </c>
      <c r="B1959" s="22" t="s">
        <v>56</v>
      </c>
      <c r="C1959" s="22" t="s">
        <v>124</v>
      </c>
      <c r="D1959" s="23">
        <v>1</v>
      </c>
      <c r="E1959" s="24">
        <f>SUM($D$2:D1959)/SUM($D$2:$D$2846)</f>
        <v>0.92463891248937979</v>
      </c>
      <c r="F1959" s="22" t="s">
        <v>53</v>
      </c>
      <c r="G1959" s="25" t="s">
        <v>125</v>
      </c>
    </row>
    <row r="1960" spans="1:7">
      <c r="A1960" s="21" t="s">
        <v>2056</v>
      </c>
      <c r="B1960" s="22" t="s">
        <v>56</v>
      </c>
      <c r="C1960" s="22" t="s">
        <v>124</v>
      </c>
      <c r="D1960" s="23">
        <v>1</v>
      </c>
      <c r="E1960" s="24">
        <f>SUM($D$2:D1960)/SUM($D$2:$D$2846)</f>
        <v>0.92472387425658453</v>
      </c>
      <c r="F1960" s="22" t="s">
        <v>53</v>
      </c>
      <c r="G1960" s="25" t="s">
        <v>125</v>
      </c>
    </row>
    <row r="1961" spans="1:7">
      <c r="A1961" s="21" t="s">
        <v>2057</v>
      </c>
      <c r="B1961" s="22" t="s">
        <v>56</v>
      </c>
      <c r="C1961" s="22" t="s">
        <v>124</v>
      </c>
      <c r="D1961" s="23">
        <v>1</v>
      </c>
      <c r="E1961" s="24">
        <f>SUM($D$2:D1961)/SUM($D$2:$D$2846)</f>
        <v>0.92480883602378927</v>
      </c>
      <c r="F1961" s="22" t="s">
        <v>53</v>
      </c>
      <c r="G1961" s="25" t="s">
        <v>125</v>
      </c>
    </row>
    <row r="1962" spans="1:7">
      <c r="A1962" s="21" t="s">
        <v>2058</v>
      </c>
      <c r="B1962" s="26" t="s">
        <v>163</v>
      </c>
      <c r="C1962" s="22" t="s">
        <v>45</v>
      </c>
      <c r="D1962" s="23">
        <v>1</v>
      </c>
      <c r="E1962" s="24">
        <f>SUM($D$2:D1962)/SUM($D$2:$D$2846)</f>
        <v>0.92489379779099401</v>
      </c>
      <c r="F1962" s="22" t="s">
        <v>53</v>
      </c>
      <c r="G1962" s="25" t="s">
        <v>164</v>
      </c>
    </row>
    <row r="1963" spans="1:7">
      <c r="A1963" s="21" t="s">
        <v>2059</v>
      </c>
      <c r="B1963" s="22" t="s">
        <v>56</v>
      </c>
      <c r="C1963" s="22" t="s">
        <v>124</v>
      </c>
      <c r="D1963" s="23">
        <v>1</v>
      </c>
      <c r="E1963" s="24">
        <f>SUM($D$2:D1963)/SUM($D$2:$D$2846)</f>
        <v>0.92497875955819886</v>
      </c>
      <c r="F1963" s="22" t="s">
        <v>53</v>
      </c>
      <c r="G1963" s="25" t="s">
        <v>125</v>
      </c>
    </row>
    <row r="1964" spans="1:7">
      <c r="A1964" s="21" t="s">
        <v>2060</v>
      </c>
      <c r="B1964" s="22" t="s">
        <v>56</v>
      </c>
      <c r="C1964" s="22" t="s">
        <v>124</v>
      </c>
      <c r="D1964" s="23">
        <v>1</v>
      </c>
      <c r="E1964" s="24">
        <f>SUM($D$2:D1964)/SUM($D$2:$D$2846)</f>
        <v>0.9250637213254036</v>
      </c>
      <c r="F1964" s="22" t="s">
        <v>53</v>
      </c>
      <c r="G1964" s="25" t="s">
        <v>125</v>
      </c>
    </row>
    <row r="1965" spans="1:7">
      <c r="A1965" s="21" t="s">
        <v>2061</v>
      </c>
      <c r="B1965" s="22" t="s">
        <v>56</v>
      </c>
      <c r="C1965" s="22" t="s">
        <v>124</v>
      </c>
      <c r="D1965" s="23">
        <v>1</v>
      </c>
      <c r="E1965" s="24">
        <f>SUM($D$2:D1965)/SUM($D$2:$D$2846)</f>
        <v>0.92514868309260834</v>
      </c>
      <c r="F1965" s="22" t="s">
        <v>53</v>
      </c>
      <c r="G1965" s="25" t="s">
        <v>125</v>
      </c>
    </row>
    <row r="1966" spans="1:7">
      <c r="A1966" s="21" t="s">
        <v>2062</v>
      </c>
      <c r="B1966" s="26" t="s">
        <v>163</v>
      </c>
      <c r="C1966" s="22" t="s">
        <v>45</v>
      </c>
      <c r="D1966" s="23">
        <v>1</v>
      </c>
      <c r="E1966" s="24">
        <f>SUM($D$2:D1966)/SUM($D$2:$D$2846)</f>
        <v>0.92523364485981308</v>
      </c>
      <c r="F1966" s="22" t="s">
        <v>53</v>
      </c>
      <c r="G1966" s="25" t="s">
        <v>164</v>
      </c>
    </row>
    <row r="1967" spans="1:7">
      <c r="A1967" s="21" t="s">
        <v>2063</v>
      </c>
      <c r="B1967" s="22" t="s">
        <v>56</v>
      </c>
      <c r="C1967" s="22" t="s">
        <v>124</v>
      </c>
      <c r="D1967" s="23">
        <v>1</v>
      </c>
      <c r="E1967" s="24">
        <f>SUM($D$2:D1967)/SUM($D$2:$D$2846)</f>
        <v>0.92531860662701781</v>
      </c>
      <c r="F1967" s="22" t="s">
        <v>53</v>
      </c>
      <c r="G1967" s="25" t="s">
        <v>125</v>
      </c>
    </row>
    <row r="1968" spans="1:7">
      <c r="A1968" s="21" t="s">
        <v>2064</v>
      </c>
      <c r="B1968" s="22" t="s">
        <v>56</v>
      </c>
      <c r="C1968" s="22" t="s">
        <v>124</v>
      </c>
      <c r="D1968" s="23">
        <v>1</v>
      </c>
      <c r="E1968" s="24">
        <f>SUM($D$2:D1968)/SUM($D$2:$D$2846)</f>
        <v>0.92540356839422255</v>
      </c>
      <c r="F1968" s="22" t="s">
        <v>53</v>
      </c>
      <c r="G1968" s="25" t="s">
        <v>125</v>
      </c>
    </row>
    <row r="1969" spans="1:7">
      <c r="A1969" s="21" t="s">
        <v>2065</v>
      </c>
      <c r="B1969" s="22" t="s">
        <v>56</v>
      </c>
      <c r="C1969" s="22" t="s">
        <v>124</v>
      </c>
      <c r="D1969" s="23">
        <v>1</v>
      </c>
      <c r="E1969" s="24">
        <f>SUM($D$2:D1969)/SUM($D$2:$D$2846)</f>
        <v>0.9254885301614274</v>
      </c>
      <c r="F1969" s="22" t="s">
        <v>53</v>
      </c>
      <c r="G1969" s="25" t="s">
        <v>125</v>
      </c>
    </row>
    <row r="1970" spans="1:7">
      <c r="A1970" s="21" t="s">
        <v>2066</v>
      </c>
      <c r="B1970" s="22" t="s">
        <v>56</v>
      </c>
      <c r="C1970" s="22" t="s">
        <v>124</v>
      </c>
      <c r="D1970" s="23">
        <v>1</v>
      </c>
      <c r="E1970" s="24">
        <f>SUM($D$2:D1970)/SUM($D$2:$D$2846)</f>
        <v>0.92557349192863214</v>
      </c>
      <c r="F1970" s="22" t="s">
        <v>53</v>
      </c>
      <c r="G1970" s="25" t="s">
        <v>125</v>
      </c>
    </row>
    <row r="1971" spans="1:7">
      <c r="A1971" s="21" t="s">
        <v>2067</v>
      </c>
      <c r="B1971" s="22" t="s">
        <v>56</v>
      </c>
      <c r="C1971" s="22" t="s">
        <v>124</v>
      </c>
      <c r="D1971" s="23">
        <v>1</v>
      </c>
      <c r="E1971" s="24">
        <f>SUM($D$2:D1971)/SUM($D$2:$D$2846)</f>
        <v>0.92565845369583688</v>
      </c>
      <c r="F1971" s="22" t="s">
        <v>53</v>
      </c>
      <c r="G1971" s="25" t="s">
        <v>125</v>
      </c>
    </row>
    <row r="1972" spans="1:7">
      <c r="A1972" s="21" t="s">
        <v>2068</v>
      </c>
      <c r="B1972" s="22" t="s">
        <v>56</v>
      </c>
      <c r="C1972" s="22" t="s">
        <v>124</v>
      </c>
      <c r="D1972" s="23">
        <v>1</v>
      </c>
      <c r="E1972" s="24">
        <f>SUM($D$2:D1972)/SUM($D$2:$D$2846)</f>
        <v>0.92574341546304162</v>
      </c>
      <c r="F1972" s="22" t="s">
        <v>53</v>
      </c>
      <c r="G1972" s="25" t="s">
        <v>125</v>
      </c>
    </row>
    <row r="1973" spans="1:7">
      <c r="A1973" s="21" t="s">
        <v>2069</v>
      </c>
      <c r="B1973" s="26" t="s">
        <v>163</v>
      </c>
      <c r="C1973" s="22" t="s">
        <v>45</v>
      </c>
      <c r="D1973" s="23">
        <v>1</v>
      </c>
      <c r="E1973" s="24">
        <f>SUM($D$2:D1973)/SUM($D$2:$D$2846)</f>
        <v>0.92582837723024636</v>
      </c>
      <c r="F1973" s="22" t="s">
        <v>53</v>
      </c>
      <c r="G1973" s="25" t="s">
        <v>164</v>
      </c>
    </row>
    <row r="1974" spans="1:7">
      <c r="A1974" s="21" t="s">
        <v>2070</v>
      </c>
      <c r="B1974" s="26" t="s">
        <v>163</v>
      </c>
      <c r="C1974" s="22" t="s">
        <v>45</v>
      </c>
      <c r="D1974" s="23">
        <v>1</v>
      </c>
      <c r="E1974" s="24">
        <f>SUM($D$2:D1974)/SUM($D$2:$D$2846)</f>
        <v>0.9259133389974511</v>
      </c>
      <c r="F1974" s="22" t="s">
        <v>53</v>
      </c>
      <c r="G1974" s="25" t="s">
        <v>164</v>
      </c>
    </row>
    <row r="1975" spans="1:7">
      <c r="A1975" s="21" t="s">
        <v>2071</v>
      </c>
      <c r="B1975" s="26" t="s">
        <v>163</v>
      </c>
      <c r="C1975" s="22" t="s">
        <v>45</v>
      </c>
      <c r="D1975" s="23">
        <v>1</v>
      </c>
      <c r="E1975" s="24">
        <f>SUM($D$2:D1975)/SUM($D$2:$D$2846)</f>
        <v>0.92599830076465595</v>
      </c>
      <c r="F1975" s="22" t="s">
        <v>53</v>
      </c>
      <c r="G1975" s="25" t="s">
        <v>164</v>
      </c>
    </row>
    <row r="1976" spans="1:7">
      <c r="A1976" s="21" t="s">
        <v>2072</v>
      </c>
      <c r="B1976" s="26" t="s">
        <v>163</v>
      </c>
      <c r="C1976" s="22" t="s">
        <v>45</v>
      </c>
      <c r="D1976" s="23">
        <v>1</v>
      </c>
      <c r="E1976" s="24">
        <f>SUM($D$2:D1976)/SUM($D$2:$D$2846)</f>
        <v>0.92608326253186068</v>
      </c>
      <c r="F1976" s="22" t="s">
        <v>53</v>
      </c>
      <c r="G1976" s="25" t="s">
        <v>164</v>
      </c>
    </row>
    <row r="1977" spans="1:7">
      <c r="A1977" s="21" t="s">
        <v>2073</v>
      </c>
      <c r="B1977" s="22" t="s">
        <v>56</v>
      </c>
      <c r="C1977" s="22" t="s">
        <v>124</v>
      </c>
      <c r="D1977" s="23">
        <v>1</v>
      </c>
      <c r="E1977" s="24">
        <f>SUM($D$2:D1977)/SUM($D$2:$D$2846)</f>
        <v>0.92616822429906542</v>
      </c>
      <c r="F1977" s="22" t="s">
        <v>53</v>
      </c>
      <c r="G1977" s="25" t="s">
        <v>125</v>
      </c>
    </row>
    <row r="1978" spans="1:7">
      <c r="A1978" s="21" t="s">
        <v>2074</v>
      </c>
      <c r="B1978" s="26" t="s">
        <v>163</v>
      </c>
      <c r="C1978" s="22" t="s">
        <v>45</v>
      </c>
      <c r="D1978" s="23">
        <v>1</v>
      </c>
      <c r="E1978" s="24">
        <f>SUM($D$2:D1978)/SUM($D$2:$D$2846)</f>
        <v>0.92625318606627016</v>
      </c>
      <c r="F1978" s="22" t="s">
        <v>53</v>
      </c>
      <c r="G1978" s="25" t="s">
        <v>164</v>
      </c>
    </row>
    <row r="1979" spans="1:7">
      <c r="A1979" s="21" t="s">
        <v>2075</v>
      </c>
      <c r="B1979" s="26" t="s">
        <v>163</v>
      </c>
      <c r="C1979" s="22" t="s">
        <v>45</v>
      </c>
      <c r="D1979" s="23">
        <v>1</v>
      </c>
      <c r="E1979" s="24">
        <f>SUM($D$2:D1979)/SUM($D$2:$D$2846)</f>
        <v>0.9263381478334749</v>
      </c>
      <c r="F1979" s="22" t="s">
        <v>53</v>
      </c>
      <c r="G1979" s="25" t="s">
        <v>164</v>
      </c>
    </row>
    <row r="1980" spans="1:7">
      <c r="A1980" s="21" t="s">
        <v>2076</v>
      </c>
      <c r="B1980" s="26" t="s">
        <v>163</v>
      </c>
      <c r="C1980" s="22" t="s">
        <v>45</v>
      </c>
      <c r="D1980" s="23">
        <v>1</v>
      </c>
      <c r="E1980" s="24">
        <f>SUM($D$2:D1980)/SUM($D$2:$D$2846)</f>
        <v>0.92642310960067964</v>
      </c>
      <c r="F1980" s="22" t="s">
        <v>53</v>
      </c>
      <c r="G1980" s="25" t="s">
        <v>164</v>
      </c>
    </row>
    <row r="1981" spans="1:7">
      <c r="A1981" s="21" t="s">
        <v>2077</v>
      </c>
      <c r="B1981" s="26" t="s">
        <v>163</v>
      </c>
      <c r="C1981" s="22" t="s">
        <v>45</v>
      </c>
      <c r="D1981" s="23">
        <v>1</v>
      </c>
      <c r="E1981" s="24">
        <f>SUM($D$2:D1981)/SUM($D$2:$D$2846)</f>
        <v>0.92650807136788449</v>
      </c>
      <c r="F1981" s="22" t="s">
        <v>53</v>
      </c>
      <c r="G1981" s="25" t="s">
        <v>164</v>
      </c>
    </row>
    <row r="1982" spans="1:7">
      <c r="A1982" s="21" t="s">
        <v>2078</v>
      </c>
      <c r="B1982" s="22" t="s">
        <v>56</v>
      </c>
      <c r="C1982" s="22" t="s">
        <v>124</v>
      </c>
      <c r="D1982" s="23">
        <v>1</v>
      </c>
      <c r="E1982" s="24">
        <f>SUM($D$2:D1982)/SUM($D$2:$D$2846)</f>
        <v>0.92659303313508923</v>
      </c>
      <c r="F1982" s="22" t="s">
        <v>53</v>
      </c>
      <c r="G1982" s="25" t="s">
        <v>125</v>
      </c>
    </row>
    <row r="1983" spans="1:7">
      <c r="A1983" s="21" t="s">
        <v>2079</v>
      </c>
      <c r="B1983" s="22" t="s">
        <v>56</v>
      </c>
      <c r="C1983" s="22" t="s">
        <v>124</v>
      </c>
      <c r="D1983" s="23">
        <v>1</v>
      </c>
      <c r="E1983" s="24">
        <f>SUM($D$2:D1983)/SUM($D$2:$D$2846)</f>
        <v>0.92667799490229397</v>
      </c>
      <c r="F1983" s="22" t="s">
        <v>53</v>
      </c>
      <c r="G1983" s="25" t="s">
        <v>125</v>
      </c>
    </row>
    <row r="1984" spans="1:7">
      <c r="A1984" s="21" t="s">
        <v>2080</v>
      </c>
      <c r="B1984" s="22" t="s">
        <v>56</v>
      </c>
      <c r="C1984" s="22" t="s">
        <v>124</v>
      </c>
      <c r="D1984" s="23">
        <v>1</v>
      </c>
      <c r="E1984" s="24">
        <f>SUM($D$2:D1984)/SUM($D$2:$D$2846)</f>
        <v>0.92676295666949871</v>
      </c>
      <c r="F1984" s="22" t="s">
        <v>53</v>
      </c>
      <c r="G1984" s="25" t="s">
        <v>125</v>
      </c>
    </row>
    <row r="1985" spans="1:7">
      <c r="A1985" s="21" t="s">
        <v>2081</v>
      </c>
      <c r="B1985" s="22" t="s">
        <v>56</v>
      </c>
      <c r="C1985" s="22" t="s">
        <v>124</v>
      </c>
      <c r="D1985" s="23">
        <v>1</v>
      </c>
      <c r="E1985" s="24">
        <f>SUM($D$2:D1985)/SUM($D$2:$D$2846)</f>
        <v>0.92684791843670344</v>
      </c>
      <c r="F1985" s="22" t="s">
        <v>53</v>
      </c>
      <c r="G1985" s="25" t="s">
        <v>125</v>
      </c>
    </row>
    <row r="1986" spans="1:7">
      <c r="A1986" s="21" t="s">
        <v>2082</v>
      </c>
      <c r="B1986" s="22" t="s">
        <v>56</v>
      </c>
      <c r="C1986" s="22" t="s">
        <v>124</v>
      </c>
      <c r="D1986" s="23">
        <v>1</v>
      </c>
      <c r="E1986" s="24">
        <f>SUM($D$2:D1986)/SUM($D$2:$D$2846)</f>
        <v>0.92693288020390829</v>
      </c>
      <c r="F1986" s="22" t="s">
        <v>53</v>
      </c>
      <c r="G1986" s="25" t="s">
        <v>125</v>
      </c>
    </row>
    <row r="1987" spans="1:7">
      <c r="A1987" s="21" t="s">
        <v>2083</v>
      </c>
      <c r="B1987" s="22" t="s">
        <v>56</v>
      </c>
      <c r="C1987" s="22" t="s">
        <v>124</v>
      </c>
      <c r="D1987" s="23">
        <v>1</v>
      </c>
      <c r="E1987" s="24">
        <f>SUM($D$2:D1987)/SUM($D$2:$D$2846)</f>
        <v>0.92701784197111303</v>
      </c>
      <c r="F1987" s="22" t="s">
        <v>53</v>
      </c>
      <c r="G1987" s="25" t="s">
        <v>125</v>
      </c>
    </row>
    <row r="1988" spans="1:7">
      <c r="A1988" s="21" t="s">
        <v>2084</v>
      </c>
      <c r="B1988" s="26" t="s">
        <v>163</v>
      </c>
      <c r="C1988" s="22" t="s">
        <v>45</v>
      </c>
      <c r="D1988" s="23">
        <v>1</v>
      </c>
      <c r="E1988" s="24">
        <f>SUM($D$2:D1988)/SUM($D$2:$D$2846)</f>
        <v>0.92710280373831777</v>
      </c>
      <c r="F1988" s="22" t="s">
        <v>53</v>
      </c>
      <c r="G1988" s="25" t="s">
        <v>164</v>
      </c>
    </row>
    <row r="1989" spans="1:7">
      <c r="A1989" s="21" t="s">
        <v>2085</v>
      </c>
      <c r="B1989" s="26" t="s">
        <v>163</v>
      </c>
      <c r="C1989" s="22" t="s">
        <v>45</v>
      </c>
      <c r="D1989" s="23">
        <v>1</v>
      </c>
      <c r="E1989" s="24">
        <f>SUM($D$2:D1989)/SUM($D$2:$D$2846)</f>
        <v>0.92718776550552251</v>
      </c>
      <c r="F1989" s="22" t="s">
        <v>53</v>
      </c>
      <c r="G1989" s="25" t="s">
        <v>164</v>
      </c>
    </row>
    <row r="1990" spans="1:7">
      <c r="A1990" s="21" t="s">
        <v>2086</v>
      </c>
      <c r="B1990" s="26" t="s">
        <v>163</v>
      </c>
      <c r="C1990" s="22" t="s">
        <v>45</v>
      </c>
      <c r="D1990" s="23">
        <v>1</v>
      </c>
      <c r="E1990" s="24">
        <f>SUM($D$2:D1990)/SUM($D$2:$D$2846)</f>
        <v>0.92727272727272725</v>
      </c>
      <c r="F1990" s="22" t="s">
        <v>53</v>
      </c>
      <c r="G1990" s="25" t="s">
        <v>164</v>
      </c>
    </row>
    <row r="1991" spans="1:7">
      <c r="A1991" s="21" t="s">
        <v>2087</v>
      </c>
      <c r="B1991" s="22" t="s">
        <v>56</v>
      </c>
      <c r="C1991" s="22" t="s">
        <v>124</v>
      </c>
      <c r="D1991" s="23">
        <v>1</v>
      </c>
      <c r="E1991" s="24">
        <f>SUM($D$2:D1991)/SUM($D$2:$D$2846)</f>
        <v>0.92735768903993199</v>
      </c>
      <c r="F1991" s="22" t="s">
        <v>53</v>
      </c>
      <c r="G1991" s="25" t="s">
        <v>125</v>
      </c>
    </row>
    <row r="1992" spans="1:7">
      <c r="A1992" s="21" t="s">
        <v>2088</v>
      </c>
      <c r="B1992" s="22" t="s">
        <v>56</v>
      </c>
      <c r="C1992" s="22" t="s">
        <v>124</v>
      </c>
      <c r="D1992" s="23">
        <v>1</v>
      </c>
      <c r="E1992" s="24">
        <f>SUM($D$2:D1992)/SUM($D$2:$D$2846)</f>
        <v>0.92744265080713684</v>
      </c>
      <c r="F1992" s="22" t="s">
        <v>53</v>
      </c>
      <c r="G1992" s="25" t="s">
        <v>125</v>
      </c>
    </row>
    <row r="1993" spans="1:7">
      <c r="A1993" s="21" t="s">
        <v>96</v>
      </c>
      <c r="B1993" s="26" t="s">
        <v>56</v>
      </c>
      <c r="C1993" s="22" t="s">
        <v>45</v>
      </c>
      <c r="D1993" s="23">
        <v>1</v>
      </c>
      <c r="E1993" s="24">
        <f>SUM($D$2:D1993)/SUM($D$2:$D$2846)</f>
        <v>0.92752761257434158</v>
      </c>
      <c r="F1993" s="22" t="s">
        <v>53</v>
      </c>
      <c r="G1993" s="25" t="s">
        <v>57</v>
      </c>
    </row>
    <row r="1994" spans="1:7">
      <c r="A1994" s="21" t="s">
        <v>2089</v>
      </c>
      <c r="B1994" s="22" t="s">
        <v>56</v>
      </c>
      <c r="C1994" s="22" t="s">
        <v>124</v>
      </c>
      <c r="D1994" s="23">
        <v>1</v>
      </c>
      <c r="E1994" s="24">
        <f>SUM($D$2:D1994)/SUM($D$2:$D$2846)</f>
        <v>0.92761257434154631</v>
      </c>
      <c r="F1994" s="22" t="s">
        <v>53</v>
      </c>
      <c r="G1994" s="25" t="s">
        <v>125</v>
      </c>
    </row>
    <row r="1995" spans="1:7">
      <c r="A1995" s="21" t="s">
        <v>2090</v>
      </c>
      <c r="B1995" s="22" t="s">
        <v>56</v>
      </c>
      <c r="C1995" s="22" t="s">
        <v>124</v>
      </c>
      <c r="D1995" s="23">
        <v>1</v>
      </c>
      <c r="E1995" s="24">
        <f>SUM($D$2:D1995)/SUM($D$2:$D$2846)</f>
        <v>0.92769753610875105</v>
      </c>
      <c r="F1995" s="22" t="s">
        <v>53</v>
      </c>
      <c r="G1995" s="25" t="s">
        <v>125</v>
      </c>
    </row>
    <row r="1996" spans="1:7">
      <c r="A1996" s="21" t="s">
        <v>2091</v>
      </c>
      <c r="B1996" s="22" t="s">
        <v>56</v>
      </c>
      <c r="C1996" s="22" t="s">
        <v>124</v>
      </c>
      <c r="D1996" s="23">
        <v>1</v>
      </c>
      <c r="E1996" s="24">
        <f>SUM($D$2:D1996)/SUM($D$2:$D$2846)</f>
        <v>0.92778249787595579</v>
      </c>
      <c r="F1996" s="22" t="s">
        <v>53</v>
      </c>
      <c r="G1996" s="25" t="s">
        <v>125</v>
      </c>
    </row>
    <row r="1997" spans="1:7">
      <c r="A1997" s="21" t="s">
        <v>2092</v>
      </c>
      <c r="B1997" s="22" t="s">
        <v>56</v>
      </c>
      <c r="C1997" s="22" t="s">
        <v>124</v>
      </c>
      <c r="D1997" s="23">
        <v>1</v>
      </c>
      <c r="E1997" s="24">
        <f>SUM($D$2:D1997)/SUM($D$2:$D$2846)</f>
        <v>0.92786745964316053</v>
      </c>
      <c r="F1997" s="22" t="s">
        <v>53</v>
      </c>
      <c r="G1997" s="25" t="s">
        <v>125</v>
      </c>
    </row>
    <row r="1998" spans="1:7">
      <c r="A1998" s="21" t="s">
        <v>2093</v>
      </c>
      <c r="B1998" s="26" t="s">
        <v>163</v>
      </c>
      <c r="C1998" s="22" t="s">
        <v>45</v>
      </c>
      <c r="D1998" s="23">
        <v>1</v>
      </c>
      <c r="E1998" s="24">
        <f>SUM($D$2:D1998)/SUM($D$2:$D$2846)</f>
        <v>0.92795242141036538</v>
      </c>
      <c r="F1998" s="22" t="s">
        <v>53</v>
      </c>
      <c r="G1998" s="25" t="s">
        <v>164</v>
      </c>
    </row>
    <row r="1999" spans="1:7">
      <c r="A1999" s="21" t="s">
        <v>2094</v>
      </c>
      <c r="B1999" s="22" t="s">
        <v>56</v>
      </c>
      <c r="C1999" s="22" t="s">
        <v>124</v>
      </c>
      <c r="D1999" s="23">
        <v>1</v>
      </c>
      <c r="E1999" s="24">
        <f>SUM($D$2:D1999)/SUM($D$2:$D$2846)</f>
        <v>0.92803738317757012</v>
      </c>
      <c r="F1999" s="22" t="s">
        <v>53</v>
      </c>
      <c r="G1999" s="25" t="s">
        <v>125</v>
      </c>
    </row>
    <row r="2000" spans="1:7">
      <c r="A2000" s="21" t="s">
        <v>2095</v>
      </c>
      <c r="B2000" s="26" t="s">
        <v>163</v>
      </c>
      <c r="C2000" s="22" t="s">
        <v>45</v>
      </c>
      <c r="D2000" s="23">
        <v>1</v>
      </c>
      <c r="E2000" s="24">
        <f>SUM($D$2:D2000)/SUM($D$2:$D$2846)</f>
        <v>0.92812234494477486</v>
      </c>
      <c r="F2000" s="22" t="s">
        <v>53</v>
      </c>
      <c r="G2000" s="25" t="s">
        <v>164</v>
      </c>
    </row>
    <row r="2001" spans="1:7">
      <c r="A2001" s="21" t="s">
        <v>2096</v>
      </c>
      <c r="B2001" s="26" t="s">
        <v>163</v>
      </c>
      <c r="C2001" s="22" t="s">
        <v>45</v>
      </c>
      <c r="D2001" s="23">
        <v>1</v>
      </c>
      <c r="E2001" s="24">
        <f>SUM($D$2:D2001)/SUM($D$2:$D$2846)</f>
        <v>0.9282073067119796</v>
      </c>
      <c r="F2001" s="22" t="s">
        <v>53</v>
      </c>
      <c r="G2001" s="25" t="s">
        <v>164</v>
      </c>
    </row>
    <row r="2002" spans="1:7">
      <c r="A2002" s="21" t="s">
        <v>2097</v>
      </c>
      <c r="B2002" s="22" t="s">
        <v>56</v>
      </c>
      <c r="C2002" s="22" t="s">
        <v>124</v>
      </c>
      <c r="D2002" s="23">
        <v>1</v>
      </c>
      <c r="E2002" s="24">
        <f>SUM($D$2:D2002)/SUM($D$2:$D$2846)</f>
        <v>0.92829226847918433</v>
      </c>
      <c r="F2002" s="22" t="s">
        <v>53</v>
      </c>
      <c r="G2002" s="25" t="s">
        <v>125</v>
      </c>
    </row>
    <row r="2003" spans="1:7">
      <c r="A2003" s="21" t="s">
        <v>2098</v>
      </c>
      <c r="B2003" s="22" t="s">
        <v>56</v>
      </c>
      <c r="C2003" s="22" t="s">
        <v>124</v>
      </c>
      <c r="D2003" s="23">
        <v>1</v>
      </c>
      <c r="E2003" s="24">
        <f>SUM($D$2:D2003)/SUM($D$2:$D$2846)</f>
        <v>0.92837723024638907</v>
      </c>
      <c r="F2003" s="22" t="s">
        <v>53</v>
      </c>
      <c r="G2003" s="25" t="s">
        <v>125</v>
      </c>
    </row>
    <row r="2004" spans="1:7">
      <c r="A2004" s="21" t="s">
        <v>2099</v>
      </c>
      <c r="B2004" s="22" t="s">
        <v>56</v>
      </c>
      <c r="C2004" s="22" t="s">
        <v>124</v>
      </c>
      <c r="D2004" s="23">
        <v>1</v>
      </c>
      <c r="E2004" s="24">
        <f>SUM($D$2:D2004)/SUM($D$2:$D$2846)</f>
        <v>0.92846219201359392</v>
      </c>
      <c r="F2004" s="22" t="s">
        <v>53</v>
      </c>
      <c r="G2004" s="25" t="s">
        <v>125</v>
      </c>
    </row>
    <row r="2005" spans="1:7">
      <c r="A2005" s="21" t="s">
        <v>2100</v>
      </c>
      <c r="B2005" s="22" t="s">
        <v>56</v>
      </c>
      <c r="C2005" s="22" t="s">
        <v>124</v>
      </c>
      <c r="D2005" s="23">
        <v>1</v>
      </c>
      <c r="E2005" s="24">
        <f>SUM($D$2:D2005)/SUM($D$2:$D$2846)</f>
        <v>0.92854715378079866</v>
      </c>
      <c r="F2005" s="22" t="s">
        <v>53</v>
      </c>
      <c r="G2005" s="25" t="s">
        <v>125</v>
      </c>
    </row>
    <row r="2006" spans="1:7">
      <c r="A2006" s="21" t="s">
        <v>2101</v>
      </c>
      <c r="B2006" s="22" t="s">
        <v>56</v>
      </c>
      <c r="C2006" s="22" t="s">
        <v>124</v>
      </c>
      <c r="D2006" s="23">
        <v>1</v>
      </c>
      <c r="E2006" s="24">
        <f>SUM($D$2:D2006)/SUM($D$2:$D$2846)</f>
        <v>0.9286321155480034</v>
      </c>
      <c r="F2006" s="22" t="s">
        <v>53</v>
      </c>
      <c r="G2006" s="25" t="s">
        <v>125</v>
      </c>
    </row>
    <row r="2007" spans="1:7">
      <c r="A2007" s="21" t="s">
        <v>2102</v>
      </c>
      <c r="B2007" s="22" t="s">
        <v>56</v>
      </c>
      <c r="C2007" s="22" t="s">
        <v>124</v>
      </c>
      <c r="D2007" s="23">
        <v>1</v>
      </c>
      <c r="E2007" s="24">
        <f>SUM($D$2:D2007)/SUM($D$2:$D$2846)</f>
        <v>0.92871707731520814</v>
      </c>
      <c r="F2007" s="22" t="s">
        <v>53</v>
      </c>
      <c r="G2007" s="25" t="s">
        <v>125</v>
      </c>
    </row>
    <row r="2008" spans="1:7">
      <c r="A2008" s="21" t="s">
        <v>2103</v>
      </c>
      <c r="B2008" s="22" t="s">
        <v>56</v>
      </c>
      <c r="C2008" s="22" t="s">
        <v>124</v>
      </c>
      <c r="D2008" s="23">
        <v>1</v>
      </c>
      <c r="E2008" s="24">
        <f>SUM($D$2:D2008)/SUM($D$2:$D$2846)</f>
        <v>0.92880203908241288</v>
      </c>
      <c r="F2008" s="22" t="s">
        <v>53</v>
      </c>
      <c r="G2008" s="25" t="s">
        <v>125</v>
      </c>
    </row>
    <row r="2009" spans="1:7">
      <c r="A2009" s="21" t="s">
        <v>2104</v>
      </c>
      <c r="B2009" s="26" t="s">
        <v>163</v>
      </c>
      <c r="C2009" s="22" t="s">
        <v>45</v>
      </c>
      <c r="D2009" s="23">
        <v>1</v>
      </c>
      <c r="E2009" s="24">
        <f>SUM($D$2:D2009)/SUM($D$2:$D$2846)</f>
        <v>0.92888700084961762</v>
      </c>
      <c r="F2009" s="22" t="s">
        <v>53</v>
      </c>
      <c r="G2009" s="25" t="s">
        <v>164</v>
      </c>
    </row>
    <row r="2010" spans="1:7">
      <c r="A2010" s="21" t="s">
        <v>2105</v>
      </c>
      <c r="B2010" s="22" t="s">
        <v>56</v>
      </c>
      <c r="C2010" s="22" t="s">
        <v>124</v>
      </c>
      <c r="D2010" s="23">
        <v>1</v>
      </c>
      <c r="E2010" s="24">
        <f>SUM($D$2:D2010)/SUM($D$2:$D$2846)</f>
        <v>0.92897196261682247</v>
      </c>
      <c r="F2010" s="22" t="s">
        <v>53</v>
      </c>
      <c r="G2010" s="25" t="s">
        <v>125</v>
      </c>
    </row>
    <row r="2011" spans="1:7">
      <c r="A2011" s="21" t="s">
        <v>2106</v>
      </c>
      <c r="B2011" s="22" t="s">
        <v>56</v>
      </c>
      <c r="C2011" s="22" t="s">
        <v>124</v>
      </c>
      <c r="D2011" s="23">
        <v>1</v>
      </c>
      <c r="E2011" s="24">
        <f>SUM($D$2:D2011)/SUM($D$2:$D$2846)</f>
        <v>0.92905692438402721</v>
      </c>
      <c r="F2011" s="22" t="s">
        <v>53</v>
      </c>
      <c r="G2011" s="25" t="s">
        <v>125</v>
      </c>
    </row>
    <row r="2012" spans="1:7">
      <c r="A2012" s="21" t="s">
        <v>2107</v>
      </c>
      <c r="B2012" s="22" t="s">
        <v>56</v>
      </c>
      <c r="C2012" s="22" t="s">
        <v>124</v>
      </c>
      <c r="D2012" s="23">
        <v>1</v>
      </c>
      <c r="E2012" s="24">
        <f>SUM($D$2:D2012)/SUM($D$2:$D$2846)</f>
        <v>0.92914188615123194</v>
      </c>
      <c r="F2012" s="22" t="s">
        <v>53</v>
      </c>
      <c r="G2012" s="25" t="s">
        <v>125</v>
      </c>
    </row>
    <row r="2013" spans="1:7">
      <c r="A2013" s="21" t="s">
        <v>2108</v>
      </c>
      <c r="B2013" s="22" t="s">
        <v>56</v>
      </c>
      <c r="C2013" s="22" t="s">
        <v>124</v>
      </c>
      <c r="D2013" s="23">
        <v>1</v>
      </c>
      <c r="E2013" s="24">
        <f>SUM($D$2:D2013)/SUM($D$2:$D$2846)</f>
        <v>0.92922684791843668</v>
      </c>
      <c r="F2013" s="22" t="s">
        <v>53</v>
      </c>
      <c r="G2013" s="25" t="s">
        <v>125</v>
      </c>
    </row>
    <row r="2014" spans="1:7">
      <c r="A2014" s="21" t="s">
        <v>2109</v>
      </c>
      <c r="B2014" s="22" t="s">
        <v>56</v>
      </c>
      <c r="C2014" s="22" t="s">
        <v>124</v>
      </c>
      <c r="D2014" s="23">
        <v>1</v>
      </c>
      <c r="E2014" s="24">
        <f>SUM($D$2:D2014)/SUM($D$2:$D$2846)</f>
        <v>0.92931180968564142</v>
      </c>
      <c r="F2014" s="22" t="s">
        <v>53</v>
      </c>
      <c r="G2014" s="25" t="s">
        <v>125</v>
      </c>
    </row>
    <row r="2015" spans="1:7">
      <c r="A2015" s="21" t="s">
        <v>2110</v>
      </c>
      <c r="B2015" s="22" t="s">
        <v>56</v>
      </c>
      <c r="C2015" s="22" t="s">
        <v>124</v>
      </c>
      <c r="D2015" s="23">
        <v>1</v>
      </c>
      <c r="E2015" s="24">
        <f>SUM($D$2:D2015)/SUM($D$2:$D$2846)</f>
        <v>0.92939677145284627</v>
      </c>
      <c r="F2015" s="22" t="s">
        <v>53</v>
      </c>
      <c r="G2015" s="25" t="s">
        <v>125</v>
      </c>
    </row>
    <row r="2016" spans="1:7">
      <c r="A2016" s="21" t="s">
        <v>2111</v>
      </c>
      <c r="B2016" s="26" t="s">
        <v>163</v>
      </c>
      <c r="C2016" s="22" t="s">
        <v>45</v>
      </c>
      <c r="D2016" s="23">
        <v>1</v>
      </c>
      <c r="E2016" s="24">
        <f>SUM($D$2:D2016)/SUM($D$2:$D$2846)</f>
        <v>0.92948173322005101</v>
      </c>
      <c r="F2016" s="22" t="s">
        <v>53</v>
      </c>
      <c r="G2016" s="25" t="s">
        <v>164</v>
      </c>
    </row>
    <row r="2017" spans="1:7">
      <c r="A2017" s="21" t="s">
        <v>2112</v>
      </c>
      <c r="B2017" s="26" t="s">
        <v>163</v>
      </c>
      <c r="C2017" s="22" t="s">
        <v>45</v>
      </c>
      <c r="D2017" s="23">
        <v>1</v>
      </c>
      <c r="E2017" s="24">
        <f>SUM($D$2:D2017)/SUM($D$2:$D$2846)</f>
        <v>0.92956669498725575</v>
      </c>
      <c r="F2017" s="22" t="s">
        <v>53</v>
      </c>
      <c r="G2017" s="25" t="s">
        <v>164</v>
      </c>
    </row>
    <row r="2018" spans="1:7">
      <c r="A2018" s="21" t="s">
        <v>2113</v>
      </c>
      <c r="B2018" s="22" t="s">
        <v>56</v>
      </c>
      <c r="C2018" s="22" t="s">
        <v>124</v>
      </c>
      <c r="D2018" s="23">
        <v>1</v>
      </c>
      <c r="E2018" s="24">
        <f>SUM($D$2:D2018)/SUM($D$2:$D$2846)</f>
        <v>0.92965165675446049</v>
      </c>
      <c r="F2018" s="22" t="s">
        <v>53</v>
      </c>
      <c r="G2018" s="25" t="s">
        <v>125</v>
      </c>
    </row>
    <row r="2019" spans="1:7">
      <c r="A2019" s="21" t="s">
        <v>2114</v>
      </c>
      <c r="B2019" s="26" t="s">
        <v>163</v>
      </c>
      <c r="C2019" s="22" t="s">
        <v>45</v>
      </c>
      <c r="D2019" s="23">
        <v>1</v>
      </c>
      <c r="E2019" s="24">
        <f>SUM($D$2:D2019)/SUM($D$2:$D$2846)</f>
        <v>0.92973661852166523</v>
      </c>
      <c r="F2019" s="22" t="s">
        <v>53</v>
      </c>
      <c r="G2019" s="25" t="s">
        <v>164</v>
      </c>
    </row>
    <row r="2020" spans="1:7">
      <c r="A2020" s="21" t="s">
        <v>2115</v>
      </c>
      <c r="B2020" s="22" t="s">
        <v>56</v>
      </c>
      <c r="C2020" s="22" t="s">
        <v>124</v>
      </c>
      <c r="D2020" s="23">
        <v>1</v>
      </c>
      <c r="E2020" s="24">
        <f>SUM($D$2:D2020)/SUM($D$2:$D$2846)</f>
        <v>0.92982158028886996</v>
      </c>
      <c r="F2020" s="22" t="s">
        <v>53</v>
      </c>
      <c r="G2020" s="25" t="s">
        <v>125</v>
      </c>
    </row>
    <row r="2021" spans="1:7">
      <c r="A2021" s="21" t="s">
        <v>2116</v>
      </c>
      <c r="B2021" s="26" t="s">
        <v>163</v>
      </c>
      <c r="C2021" s="22" t="s">
        <v>45</v>
      </c>
      <c r="D2021" s="23">
        <v>1</v>
      </c>
      <c r="E2021" s="24">
        <f>SUM($D$2:D2021)/SUM($D$2:$D$2846)</f>
        <v>0.92990654205607481</v>
      </c>
      <c r="F2021" s="22" t="s">
        <v>53</v>
      </c>
      <c r="G2021" s="25" t="s">
        <v>164</v>
      </c>
    </row>
    <row r="2022" spans="1:7">
      <c r="A2022" s="21" t="s">
        <v>97</v>
      </c>
      <c r="B2022" s="26" t="s">
        <v>44</v>
      </c>
      <c r="C2022" s="22" t="s">
        <v>73</v>
      </c>
      <c r="D2022" s="23">
        <v>1</v>
      </c>
      <c r="E2022" s="24">
        <f>SUM($D$2:D2022)/SUM($D$2:$D$2846)</f>
        <v>0.92999150382327955</v>
      </c>
      <c r="F2022" s="22" t="s">
        <v>53</v>
      </c>
      <c r="G2022" s="25" t="s">
        <v>74</v>
      </c>
    </row>
    <row r="2023" spans="1:7">
      <c r="A2023" s="21" t="s">
        <v>2117</v>
      </c>
      <c r="B2023" s="26" t="s">
        <v>163</v>
      </c>
      <c r="C2023" s="22" t="s">
        <v>45</v>
      </c>
      <c r="D2023" s="23">
        <v>1</v>
      </c>
      <c r="E2023" s="24">
        <f>SUM($D$2:D2023)/SUM($D$2:$D$2846)</f>
        <v>0.93007646559048429</v>
      </c>
      <c r="F2023" s="22" t="s">
        <v>53</v>
      </c>
      <c r="G2023" s="25" t="s">
        <v>164</v>
      </c>
    </row>
    <row r="2024" spans="1:7">
      <c r="A2024" s="21" t="s">
        <v>2118</v>
      </c>
      <c r="B2024" s="22" t="s">
        <v>56</v>
      </c>
      <c r="C2024" s="22" t="s">
        <v>124</v>
      </c>
      <c r="D2024" s="23">
        <v>1</v>
      </c>
      <c r="E2024" s="24">
        <f>SUM($D$2:D2024)/SUM($D$2:$D$2846)</f>
        <v>0.93016142735768903</v>
      </c>
      <c r="F2024" s="22" t="s">
        <v>53</v>
      </c>
      <c r="G2024" s="25" t="s">
        <v>125</v>
      </c>
    </row>
    <row r="2025" spans="1:7">
      <c r="A2025" s="21" t="s">
        <v>2119</v>
      </c>
      <c r="B2025" s="26" t="s">
        <v>163</v>
      </c>
      <c r="C2025" s="22" t="s">
        <v>45</v>
      </c>
      <c r="D2025" s="23">
        <v>1</v>
      </c>
      <c r="E2025" s="24">
        <f>SUM($D$2:D2025)/SUM($D$2:$D$2846)</f>
        <v>0.93024638912489377</v>
      </c>
      <c r="F2025" s="22" t="s">
        <v>53</v>
      </c>
      <c r="G2025" s="25" t="s">
        <v>164</v>
      </c>
    </row>
    <row r="2026" spans="1:7">
      <c r="A2026" s="21" t="s">
        <v>2120</v>
      </c>
      <c r="B2026" s="26" t="s">
        <v>163</v>
      </c>
      <c r="C2026" s="22" t="s">
        <v>45</v>
      </c>
      <c r="D2026" s="23">
        <v>1</v>
      </c>
      <c r="E2026" s="24">
        <f>SUM($D$2:D2026)/SUM($D$2:$D$2846)</f>
        <v>0.93033135089209851</v>
      </c>
      <c r="F2026" s="22" t="s">
        <v>53</v>
      </c>
      <c r="G2026" s="25" t="s">
        <v>164</v>
      </c>
    </row>
    <row r="2027" spans="1:7">
      <c r="A2027" s="21" t="s">
        <v>2121</v>
      </c>
      <c r="B2027" s="26" t="s">
        <v>163</v>
      </c>
      <c r="C2027" s="22" t="s">
        <v>45</v>
      </c>
      <c r="D2027" s="23">
        <v>1</v>
      </c>
      <c r="E2027" s="24">
        <f>SUM($D$2:D2027)/SUM($D$2:$D$2846)</f>
        <v>0.93041631265930336</v>
      </c>
      <c r="F2027" s="22" t="s">
        <v>53</v>
      </c>
      <c r="G2027" s="25" t="s">
        <v>164</v>
      </c>
    </row>
    <row r="2028" spans="1:7">
      <c r="A2028" s="21" t="s">
        <v>2122</v>
      </c>
      <c r="B2028" s="26" t="s">
        <v>163</v>
      </c>
      <c r="C2028" s="22" t="s">
        <v>45</v>
      </c>
      <c r="D2028" s="23">
        <v>1</v>
      </c>
      <c r="E2028" s="24">
        <f>SUM($D$2:D2028)/SUM($D$2:$D$2846)</f>
        <v>0.9305012744265081</v>
      </c>
      <c r="F2028" s="22" t="s">
        <v>53</v>
      </c>
      <c r="G2028" s="25" t="s">
        <v>164</v>
      </c>
    </row>
    <row r="2029" spans="1:7">
      <c r="A2029" s="21" t="s">
        <v>2123</v>
      </c>
      <c r="B2029" s="26" t="s">
        <v>163</v>
      </c>
      <c r="C2029" s="22" t="s">
        <v>45</v>
      </c>
      <c r="D2029" s="23">
        <v>1</v>
      </c>
      <c r="E2029" s="24">
        <f>SUM($D$2:D2029)/SUM($D$2:$D$2846)</f>
        <v>0.93058623619371283</v>
      </c>
      <c r="F2029" s="22" t="s">
        <v>53</v>
      </c>
      <c r="G2029" s="25" t="s">
        <v>164</v>
      </c>
    </row>
    <row r="2030" spans="1:7">
      <c r="A2030" s="21" t="s">
        <v>2124</v>
      </c>
      <c r="B2030" s="22" t="s">
        <v>56</v>
      </c>
      <c r="C2030" s="22" t="s">
        <v>124</v>
      </c>
      <c r="D2030" s="23">
        <v>1</v>
      </c>
      <c r="E2030" s="24">
        <f>SUM($D$2:D2030)/SUM($D$2:$D$2846)</f>
        <v>0.93067119796091757</v>
      </c>
      <c r="F2030" s="22" t="s">
        <v>53</v>
      </c>
      <c r="G2030" s="25" t="s">
        <v>125</v>
      </c>
    </row>
    <row r="2031" spans="1:7">
      <c r="A2031" s="21" t="s">
        <v>2125</v>
      </c>
      <c r="B2031" s="22" t="s">
        <v>56</v>
      </c>
      <c r="C2031" s="22" t="s">
        <v>124</v>
      </c>
      <c r="D2031" s="23">
        <v>1</v>
      </c>
      <c r="E2031" s="24">
        <f>SUM($D$2:D2031)/SUM($D$2:$D$2846)</f>
        <v>0.93075615972812231</v>
      </c>
      <c r="F2031" s="22" t="s">
        <v>53</v>
      </c>
      <c r="G2031" s="25" t="s">
        <v>125</v>
      </c>
    </row>
    <row r="2032" spans="1:7">
      <c r="A2032" s="21" t="s">
        <v>2126</v>
      </c>
      <c r="B2032" s="22" t="s">
        <v>56</v>
      </c>
      <c r="C2032" s="22" t="s">
        <v>124</v>
      </c>
      <c r="D2032" s="23">
        <v>1</v>
      </c>
      <c r="E2032" s="24">
        <f>SUM($D$2:D2032)/SUM($D$2:$D$2846)</f>
        <v>0.93084112149532705</v>
      </c>
      <c r="F2032" s="22" t="s">
        <v>53</v>
      </c>
      <c r="G2032" s="25" t="s">
        <v>125</v>
      </c>
    </row>
    <row r="2033" spans="1:7">
      <c r="A2033" s="21" t="s">
        <v>2127</v>
      </c>
      <c r="B2033" s="22" t="s">
        <v>56</v>
      </c>
      <c r="C2033" s="22" t="s">
        <v>124</v>
      </c>
      <c r="D2033" s="23">
        <v>1</v>
      </c>
      <c r="E2033" s="24">
        <f>SUM($D$2:D2033)/SUM($D$2:$D$2846)</f>
        <v>0.9309260832625319</v>
      </c>
      <c r="F2033" s="22" t="s">
        <v>53</v>
      </c>
      <c r="G2033" s="25" t="s">
        <v>125</v>
      </c>
    </row>
    <row r="2034" spans="1:7">
      <c r="A2034" s="21" t="s">
        <v>2128</v>
      </c>
      <c r="B2034" s="26" t="s">
        <v>163</v>
      </c>
      <c r="C2034" s="22" t="s">
        <v>45</v>
      </c>
      <c r="D2034" s="23">
        <v>1</v>
      </c>
      <c r="E2034" s="24">
        <f>SUM($D$2:D2034)/SUM($D$2:$D$2846)</f>
        <v>0.93101104502973664</v>
      </c>
      <c r="F2034" s="22" t="s">
        <v>53</v>
      </c>
      <c r="G2034" s="25" t="s">
        <v>164</v>
      </c>
    </row>
    <row r="2035" spans="1:7">
      <c r="A2035" s="21" t="s">
        <v>2129</v>
      </c>
      <c r="B2035" s="22" t="s">
        <v>56</v>
      </c>
      <c r="C2035" s="22" t="s">
        <v>124</v>
      </c>
      <c r="D2035" s="23">
        <v>1</v>
      </c>
      <c r="E2035" s="24">
        <f>SUM($D$2:D2035)/SUM($D$2:$D$2846)</f>
        <v>0.93109600679694138</v>
      </c>
      <c r="F2035" s="22" t="s">
        <v>53</v>
      </c>
      <c r="G2035" s="25" t="s">
        <v>125</v>
      </c>
    </row>
    <row r="2036" spans="1:7">
      <c r="A2036" s="21" t="s">
        <v>2130</v>
      </c>
      <c r="B2036" s="22" t="s">
        <v>56</v>
      </c>
      <c r="C2036" s="22" t="s">
        <v>124</v>
      </c>
      <c r="D2036" s="23">
        <v>1</v>
      </c>
      <c r="E2036" s="24">
        <f>SUM($D$2:D2036)/SUM($D$2:$D$2846)</f>
        <v>0.93118096856414612</v>
      </c>
      <c r="F2036" s="22" t="s">
        <v>53</v>
      </c>
      <c r="G2036" s="25" t="s">
        <v>125</v>
      </c>
    </row>
    <row r="2037" spans="1:7">
      <c r="A2037" s="21" t="s">
        <v>2131</v>
      </c>
      <c r="B2037" s="22" t="s">
        <v>56</v>
      </c>
      <c r="C2037" s="22" t="s">
        <v>124</v>
      </c>
      <c r="D2037" s="23">
        <v>1</v>
      </c>
      <c r="E2037" s="24">
        <f>SUM($D$2:D2037)/SUM($D$2:$D$2846)</f>
        <v>0.93126593033135086</v>
      </c>
      <c r="F2037" s="22" t="s">
        <v>53</v>
      </c>
      <c r="G2037" s="25" t="s">
        <v>125</v>
      </c>
    </row>
    <row r="2038" spans="1:7">
      <c r="A2038" s="21" t="s">
        <v>2132</v>
      </c>
      <c r="B2038" s="26" t="s">
        <v>163</v>
      </c>
      <c r="C2038" s="22" t="s">
        <v>45</v>
      </c>
      <c r="D2038" s="23">
        <v>1</v>
      </c>
      <c r="E2038" s="24">
        <f>SUM($D$2:D2038)/SUM($D$2:$D$2846)</f>
        <v>0.9313508920985557</v>
      </c>
      <c r="F2038" s="22" t="s">
        <v>53</v>
      </c>
      <c r="G2038" s="25" t="s">
        <v>164</v>
      </c>
    </row>
    <row r="2039" spans="1:7">
      <c r="A2039" s="21" t="s">
        <v>2133</v>
      </c>
      <c r="B2039" s="22" t="s">
        <v>56</v>
      </c>
      <c r="C2039" s="22" t="s">
        <v>124</v>
      </c>
      <c r="D2039" s="23">
        <v>1</v>
      </c>
      <c r="E2039" s="24">
        <f>SUM($D$2:D2039)/SUM($D$2:$D$2846)</f>
        <v>0.93143585386576044</v>
      </c>
      <c r="F2039" s="22" t="s">
        <v>53</v>
      </c>
      <c r="G2039" s="25" t="s">
        <v>125</v>
      </c>
    </row>
    <row r="2040" spans="1:7">
      <c r="A2040" s="21" t="s">
        <v>2134</v>
      </c>
      <c r="B2040" s="22" t="s">
        <v>56</v>
      </c>
      <c r="C2040" s="22" t="s">
        <v>124</v>
      </c>
      <c r="D2040" s="23">
        <v>1</v>
      </c>
      <c r="E2040" s="24">
        <f>SUM($D$2:D2040)/SUM($D$2:$D$2846)</f>
        <v>0.93152081563296518</v>
      </c>
      <c r="F2040" s="22" t="s">
        <v>53</v>
      </c>
      <c r="G2040" s="25" t="s">
        <v>125</v>
      </c>
    </row>
    <row r="2041" spans="1:7">
      <c r="A2041" s="21" t="s">
        <v>2135</v>
      </c>
      <c r="B2041" s="26" t="s">
        <v>163</v>
      </c>
      <c r="C2041" s="22" t="s">
        <v>45</v>
      </c>
      <c r="D2041" s="23">
        <v>1</v>
      </c>
      <c r="E2041" s="24">
        <f>SUM($D$2:D2041)/SUM($D$2:$D$2846)</f>
        <v>0.93160577740016992</v>
      </c>
      <c r="F2041" s="22" t="s">
        <v>53</v>
      </c>
      <c r="G2041" s="25" t="s">
        <v>164</v>
      </c>
    </row>
    <row r="2042" spans="1:7">
      <c r="A2042" s="21" t="s">
        <v>2136</v>
      </c>
      <c r="B2042" s="22" t="s">
        <v>56</v>
      </c>
      <c r="C2042" s="22" t="s">
        <v>124</v>
      </c>
      <c r="D2042" s="23">
        <v>1</v>
      </c>
      <c r="E2042" s="24">
        <f>SUM($D$2:D2042)/SUM($D$2:$D$2846)</f>
        <v>0.93169073916737466</v>
      </c>
      <c r="F2042" s="22" t="s">
        <v>53</v>
      </c>
      <c r="G2042" s="25" t="s">
        <v>125</v>
      </c>
    </row>
    <row r="2043" spans="1:7">
      <c r="A2043" s="21" t="s">
        <v>2137</v>
      </c>
      <c r="B2043" s="22" t="s">
        <v>56</v>
      </c>
      <c r="C2043" s="22" t="s">
        <v>124</v>
      </c>
      <c r="D2043" s="23">
        <v>1</v>
      </c>
      <c r="E2043" s="24">
        <f>SUM($D$2:D2043)/SUM($D$2:$D$2846)</f>
        <v>0.9317757009345794</v>
      </c>
      <c r="F2043" s="22" t="s">
        <v>53</v>
      </c>
      <c r="G2043" s="25" t="s">
        <v>125</v>
      </c>
    </row>
    <row r="2044" spans="1:7">
      <c r="A2044" s="21" t="s">
        <v>2138</v>
      </c>
      <c r="B2044" s="22" t="s">
        <v>56</v>
      </c>
      <c r="C2044" s="22" t="s">
        <v>124</v>
      </c>
      <c r="D2044" s="23">
        <v>1</v>
      </c>
      <c r="E2044" s="24">
        <f>SUM($D$2:D2044)/SUM($D$2:$D$2846)</f>
        <v>0.93186066270178425</v>
      </c>
      <c r="F2044" s="22" t="s">
        <v>53</v>
      </c>
      <c r="G2044" s="25" t="s">
        <v>125</v>
      </c>
    </row>
    <row r="2045" spans="1:7">
      <c r="A2045" s="21" t="s">
        <v>2139</v>
      </c>
      <c r="B2045" s="22" t="s">
        <v>56</v>
      </c>
      <c r="C2045" s="22" t="s">
        <v>124</v>
      </c>
      <c r="D2045" s="23">
        <v>1</v>
      </c>
      <c r="E2045" s="24">
        <f>SUM($D$2:D2045)/SUM($D$2:$D$2846)</f>
        <v>0.93194562446898899</v>
      </c>
      <c r="F2045" s="22" t="s">
        <v>53</v>
      </c>
      <c r="G2045" s="25" t="s">
        <v>125</v>
      </c>
    </row>
    <row r="2046" spans="1:7">
      <c r="A2046" s="21" t="s">
        <v>2140</v>
      </c>
      <c r="B2046" s="26" t="s">
        <v>163</v>
      </c>
      <c r="C2046" s="22" t="s">
        <v>45</v>
      </c>
      <c r="D2046" s="23">
        <v>1</v>
      </c>
      <c r="E2046" s="24">
        <f>SUM($D$2:D2046)/SUM($D$2:$D$2846)</f>
        <v>0.93203058623619373</v>
      </c>
      <c r="F2046" s="22" t="s">
        <v>53</v>
      </c>
      <c r="G2046" s="25" t="s">
        <v>164</v>
      </c>
    </row>
    <row r="2047" spans="1:7">
      <c r="A2047" s="21" t="s">
        <v>2141</v>
      </c>
      <c r="B2047" s="22" t="s">
        <v>56</v>
      </c>
      <c r="C2047" s="22" t="s">
        <v>124</v>
      </c>
      <c r="D2047" s="23">
        <v>1</v>
      </c>
      <c r="E2047" s="24">
        <f>SUM($D$2:D2047)/SUM($D$2:$D$2846)</f>
        <v>0.93211554800339846</v>
      </c>
      <c r="F2047" s="22" t="s">
        <v>53</v>
      </c>
      <c r="G2047" s="25" t="s">
        <v>125</v>
      </c>
    </row>
    <row r="2048" spans="1:7">
      <c r="A2048" s="21" t="s">
        <v>2142</v>
      </c>
      <c r="B2048" s="22" t="s">
        <v>56</v>
      </c>
      <c r="C2048" s="22" t="s">
        <v>124</v>
      </c>
      <c r="D2048" s="23">
        <v>1</v>
      </c>
      <c r="E2048" s="24">
        <f>SUM($D$2:D2048)/SUM($D$2:$D$2846)</f>
        <v>0.9322005097706032</v>
      </c>
      <c r="F2048" s="22" t="s">
        <v>53</v>
      </c>
      <c r="G2048" s="25" t="s">
        <v>125</v>
      </c>
    </row>
    <row r="2049" spans="1:7">
      <c r="A2049" s="21" t="s">
        <v>2143</v>
      </c>
      <c r="B2049" s="22" t="s">
        <v>44</v>
      </c>
      <c r="C2049" s="22" t="s">
        <v>124</v>
      </c>
      <c r="D2049" s="23">
        <v>1</v>
      </c>
      <c r="E2049" s="24">
        <f>SUM($D$2:D2049)/SUM($D$2:$D$2846)</f>
        <v>0.93228547153780794</v>
      </c>
      <c r="F2049" s="22" t="s">
        <v>53</v>
      </c>
      <c r="G2049" s="25" t="s">
        <v>194</v>
      </c>
    </row>
    <row r="2050" spans="1:7">
      <c r="A2050" s="21" t="s">
        <v>2144</v>
      </c>
      <c r="B2050" s="22" t="s">
        <v>56</v>
      </c>
      <c r="C2050" s="22" t="s">
        <v>124</v>
      </c>
      <c r="D2050" s="23">
        <v>1</v>
      </c>
      <c r="E2050" s="24">
        <f>SUM($D$2:D2050)/SUM($D$2:$D$2846)</f>
        <v>0.93237043330501279</v>
      </c>
      <c r="F2050" s="22" t="s">
        <v>53</v>
      </c>
      <c r="G2050" s="25" t="s">
        <v>125</v>
      </c>
    </row>
    <row r="2051" spans="1:7">
      <c r="A2051" s="21" t="s">
        <v>2145</v>
      </c>
      <c r="B2051" s="22" t="s">
        <v>56</v>
      </c>
      <c r="C2051" s="22" t="s">
        <v>124</v>
      </c>
      <c r="D2051" s="23">
        <v>1</v>
      </c>
      <c r="E2051" s="24">
        <f>SUM($D$2:D2051)/SUM($D$2:$D$2846)</f>
        <v>0.93245539507221753</v>
      </c>
      <c r="F2051" s="22" t="s">
        <v>53</v>
      </c>
      <c r="G2051" s="25" t="s">
        <v>125</v>
      </c>
    </row>
    <row r="2052" spans="1:7">
      <c r="A2052" s="21" t="s">
        <v>2146</v>
      </c>
      <c r="B2052" s="22" t="s">
        <v>56</v>
      </c>
      <c r="C2052" s="22" t="s">
        <v>124</v>
      </c>
      <c r="D2052" s="23">
        <v>1</v>
      </c>
      <c r="E2052" s="24">
        <f>SUM($D$2:D2052)/SUM($D$2:$D$2846)</f>
        <v>0.93254035683942227</v>
      </c>
      <c r="F2052" s="22" t="s">
        <v>53</v>
      </c>
      <c r="G2052" s="25" t="s">
        <v>125</v>
      </c>
    </row>
    <row r="2053" spans="1:7">
      <c r="A2053" s="21" t="s">
        <v>2147</v>
      </c>
      <c r="B2053" s="22" t="s">
        <v>56</v>
      </c>
      <c r="C2053" s="22" t="s">
        <v>124</v>
      </c>
      <c r="D2053" s="23">
        <v>1</v>
      </c>
      <c r="E2053" s="24">
        <f>SUM($D$2:D2053)/SUM($D$2:$D$2846)</f>
        <v>0.93262531860662701</v>
      </c>
      <c r="F2053" s="22" t="s">
        <v>53</v>
      </c>
      <c r="G2053" s="25" t="s">
        <v>125</v>
      </c>
    </row>
    <row r="2054" spans="1:7">
      <c r="A2054" s="21" t="s">
        <v>2148</v>
      </c>
      <c r="B2054" s="22" t="s">
        <v>56</v>
      </c>
      <c r="C2054" s="22" t="s">
        <v>124</v>
      </c>
      <c r="D2054" s="23">
        <v>1</v>
      </c>
      <c r="E2054" s="24">
        <f>SUM($D$2:D2054)/SUM($D$2:$D$2846)</f>
        <v>0.93271028037383175</v>
      </c>
      <c r="F2054" s="22" t="s">
        <v>53</v>
      </c>
      <c r="G2054" s="25" t="s">
        <v>125</v>
      </c>
    </row>
    <row r="2055" spans="1:7">
      <c r="A2055" s="21" t="s">
        <v>2149</v>
      </c>
      <c r="B2055" s="22" t="s">
        <v>56</v>
      </c>
      <c r="C2055" s="22" t="s">
        <v>124</v>
      </c>
      <c r="D2055" s="23">
        <v>1</v>
      </c>
      <c r="E2055" s="24">
        <f>SUM($D$2:D2055)/SUM($D$2:$D$2846)</f>
        <v>0.93279524214103648</v>
      </c>
      <c r="F2055" s="22" t="s">
        <v>53</v>
      </c>
      <c r="G2055" s="25" t="s">
        <v>125</v>
      </c>
    </row>
    <row r="2056" spans="1:7">
      <c r="A2056" s="21" t="s">
        <v>2150</v>
      </c>
      <c r="B2056" s="26" t="s">
        <v>163</v>
      </c>
      <c r="C2056" s="22" t="s">
        <v>45</v>
      </c>
      <c r="D2056" s="23">
        <v>1</v>
      </c>
      <c r="E2056" s="24">
        <f>SUM($D$2:D2056)/SUM($D$2:$D$2846)</f>
        <v>0.93288020390824133</v>
      </c>
      <c r="F2056" s="22" t="s">
        <v>53</v>
      </c>
      <c r="G2056" s="25" t="s">
        <v>164</v>
      </c>
    </row>
    <row r="2057" spans="1:7">
      <c r="A2057" s="21" t="s">
        <v>2151</v>
      </c>
      <c r="B2057" s="22" t="s">
        <v>56</v>
      </c>
      <c r="C2057" s="22" t="s">
        <v>124</v>
      </c>
      <c r="D2057" s="23">
        <v>1</v>
      </c>
      <c r="E2057" s="24">
        <f>SUM($D$2:D2057)/SUM($D$2:$D$2846)</f>
        <v>0.93296516567544607</v>
      </c>
      <c r="F2057" s="22" t="s">
        <v>53</v>
      </c>
      <c r="G2057" s="25" t="s">
        <v>125</v>
      </c>
    </row>
    <row r="2058" spans="1:7">
      <c r="A2058" s="21" t="s">
        <v>2152</v>
      </c>
      <c r="B2058" s="22" t="s">
        <v>44</v>
      </c>
      <c r="C2058" s="22" t="s">
        <v>124</v>
      </c>
      <c r="D2058" s="23">
        <v>1</v>
      </c>
      <c r="E2058" s="24">
        <f>SUM($D$2:D2058)/SUM($D$2:$D$2846)</f>
        <v>0.93305012744265081</v>
      </c>
      <c r="F2058" s="22" t="s">
        <v>53</v>
      </c>
      <c r="G2058" s="25" t="s">
        <v>194</v>
      </c>
    </row>
    <row r="2059" spans="1:7">
      <c r="A2059" s="21" t="s">
        <v>2153</v>
      </c>
      <c r="B2059" s="22" t="s">
        <v>44</v>
      </c>
      <c r="C2059" s="22" t="s">
        <v>124</v>
      </c>
      <c r="D2059" s="23">
        <v>1</v>
      </c>
      <c r="E2059" s="24">
        <f>SUM($D$2:D2059)/SUM($D$2:$D$2846)</f>
        <v>0.93313508920985555</v>
      </c>
      <c r="F2059" s="22" t="s">
        <v>53</v>
      </c>
      <c r="G2059" s="25" t="s">
        <v>194</v>
      </c>
    </row>
    <row r="2060" spans="1:7">
      <c r="A2060" s="21" t="s">
        <v>2154</v>
      </c>
      <c r="B2060" s="22" t="s">
        <v>44</v>
      </c>
      <c r="C2060" s="22" t="s">
        <v>124</v>
      </c>
      <c r="D2060" s="23">
        <v>1</v>
      </c>
      <c r="E2060" s="24">
        <f>SUM($D$2:D2060)/SUM($D$2:$D$2846)</f>
        <v>0.93322005097706029</v>
      </c>
      <c r="F2060" s="22" t="s">
        <v>53</v>
      </c>
      <c r="G2060" s="25" t="s">
        <v>194</v>
      </c>
    </row>
    <row r="2061" spans="1:7">
      <c r="A2061" s="21" t="s">
        <v>2155</v>
      </c>
      <c r="B2061" s="22" t="s">
        <v>56</v>
      </c>
      <c r="C2061" s="22" t="s">
        <v>124</v>
      </c>
      <c r="D2061" s="23">
        <v>1</v>
      </c>
      <c r="E2061" s="24">
        <f>SUM($D$2:D2061)/SUM($D$2:$D$2846)</f>
        <v>0.93330501274426503</v>
      </c>
      <c r="F2061" s="22" t="s">
        <v>53</v>
      </c>
      <c r="G2061" s="25" t="s">
        <v>125</v>
      </c>
    </row>
    <row r="2062" spans="1:7">
      <c r="A2062" s="21" t="s">
        <v>2156</v>
      </c>
      <c r="B2062" s="22" t="s">
        <v>56</v>
      </c>
      <c r="C2062" s="22" t="s">
        <v>124</v>
      </c>
      <c r="D2062" s="23">
        <v>1</v>
      </c>
      <c r="E2062" s="24">
        <f>SUM($D$2:D2062)/SUM($D$2:$D$2846)</f>
        <v>0.93338997451146988</v>
      </c>
      <c r="F2062" s="22" t="s">
        <v>53</v>
      </c>
      <c r="G2062" s="25" t="s">
        <v>125</v>
      </c>
    </row>
    <row r="2063" spans="1:7">
      <c r="A2063" s="21" t="s">
        <v>2157</v>
      </c>
      <c r="B2063" s="22" t="s">
        <v>56</v>
      </c>
      <c r="C2063" s="22" t="s">
        <v>124</v>
      </c>
      <c r="D2063" s="23">
        <v>1</v>
      </c>
      <c r="E2063" s="24">
        <f>SUM($D$2:D2063)/SUM($D$2:$D$2846)</f>
        <v>0.93347493627867462</v>
      </c>
      <c r="F2063" s="22" t="s">
        <v>53</v>
      </c>
      <c r="G2063" s="25" t="s">
        <v>125</v>
      </c>
    </row>
    <row r="2064" spans="1:7">
      <c r="A2064" s="21" t="s">
        <v>2158</v>
      </c>
      <c r="B2064" s="22" t="s">
        <v>56</v>
      </c>
      <c r="C2064" s="22" t="s">
        <v>124</v>
      </c>
      <c r="D2064" s="23">
        <v>1</v>
      </c>
      <c r="E2064" s="24">
        <f>SUM($D$2:D2064)/SUM($D$2:$D$2846)</f>
        <v>0.93355989804587935</v>
      </c>
      <c r="F2064" s="22" t="s">
        <v>53</v>
      </c>
      <c r="G2064" s="25" t="s">
        <v>125</v>
      </c>
    </row>
    <row r="2065" spans="1:7">
      <c r="A2065" s="21" t="s">
        <v>2159</v>
      </c>
      <c r="B2065" s="22" t="s">
        <v>56</v>
      </c>
      <c r="C2065" s="22" t="s">
        <v>124</v>
      </c>
      <c r="D2065" s="23">
        <v>1</v>
      </c>
      <c r="E2065" s="24">
        <f>SUM($D$2:D2065)/SUM($D$2:$D$2846)</f>
        <v>0.93364485981308409</v>
      </c>
      <c r="F2065" s="22" t="s">
        <v>53</v>
      </c>
      <c r="G2065" s="25" t="s">
        <v>125</v>
      </c>
    </row>
    <row r="2066" spans="1:7">
      <c r="A2066" s="21" t="s">
        <v>2160</v>
      </c>
      <c r="B2066" s="22" t="s">
        <v>56</v>
      </c>
      <c r="C2066" s="22" t="s">
        <v>124</v>
      </c>
      <c r="D2066" s="23">
        <v>1</v>
      </c>
      <c r="E2066" s="24">
        <f>SUM($D$2:D2066)/SUM($D$2:$D$2846)</f>
        <v>0.93372982158028883</v>
      </c>
      <c r="F2066" s="22" t="s">
        <v>53</v>
      </c>
      <c r="G2066" s="25" t="s">
        <v>125</v>
      </c>
    </row>
    <row r="2067" spans="1:7">
      <c r="A2067" s="21" t="s">
        <v>2161</v>
      </c>
      <c r="B2067" s="22" t="s">
        <v>56</v>
      </c>
      <c r="C2067" s="22" t="s">
        <v>124</v>
      </c>
      <c r="D2067" s="23">
        <v>1</v>
      </c>
      <c r="E2067" s="24">
        <f>SUM($D$2:D2067)/SUM($D$2:$D$2846)</f>
        <v>0.93381478334749368</v>
      </c>
      <c r="F2067" s="22" t="s">
        <v>53</v>
      </c>
      <c r="G2067" s="25" t="s">
        <v>125</v>
      </c>
    </row>
    <row r="2068" spans="1:7">
      <c r="A2068" s="21" t="s">
        <v>2162</v>
      </c>
      <c r="B2068" s="22" t="s">
        <v>56</v>
      </c>
      <c r="C2068" s="22" t="s">
        <v>124</v>
      </c>
      <c r="D2068" s="23">
        <v>1</v>
      </c>
      <c r="E2068" s="24">
        <f>SUM($D$2:D2068)/SUM($D$2:$D$2846)</f>
        <v>0.93389974511469842</v>
      </c>
      <c r="F2068" s="22" t="s">
        <v>53</v>
      </c>
      <c r="G2068" s="25" t="s">
        <v>125</v>
      </c>
    </row>
    <row r="2069" spans="1:7">
      <c r="A2069" s="21" t="s">
        <v>2163</v>
      </c>
      <c r="B2069" s="22" t="s">
        <v>56</v>
      </c>
      <c r="C2069" s="22" t="s">
        <v>124</v>
      </c>
      <c r="D2069" s="23">
        <v>1</v>
      </c>
      <c r="E2069" s="24">
        <f>SUM($D$2:D2069)/SUM($D$2:$D$2846)</f>
        <v>0.93398470688190316</v>
      </c>
      <c r="F2069" s="22" t="s">
        <v>53</v>
      </c>
      <c r="G2069" s="25" t="s">
        <v>125</v>
      </c>
    </row>
    <row r="2070" spans="1:7">
      <c r="A2070" s="21" t="s">
        <v>2164</v>
      </c>
      <c r="B2070" s="26" t="s">
        <v>163</v>
      </c>
      <c r="C2070" s="22" t="s">
        <v>45</v>
      </c>
      <c r="D2070" s="23">
        <v>1</v>
      </c>
      <c r="E2070" s="24">
        <f>SUM($D$2:D2070)/SUM($D$2:$D$2846)</f>
        <v>0.9340696686491079</v>
      </c>
      <c r="F2070" s="22" t="s">
        <v>53</v>
      </c>
      <c r="G2070" s="25" t="s">
        <v>164</v>
      </c>
    </row>
    <row r="2071" spans="1:7">
      <c r="A2071" s="21" t="s">
        <v>2165</v>
      </c>
      <c r="B2071" s="22" t="s">
        <v>56</v>
      </c>
      <c r="C2071" s="22" t="s">
        <v>124</v>
      </c>
      <c r="D2071" s="23">
        <v>1</v>
      </c>
      <c r="E2071" s="24">
        <f>SUM($D$2:D2071)/SUM($D$2:$D$2846)</f>
        <v>0.93415463041631264</v>
      </c>
      <c r="F2071" s="22" t="s">
        <v>53</v>
      </c>
      <c r="G2071" s="25" t="s">
        <v>125</v>
      </c>
    </row>
    <row r="2072" spans="1:7">
      <c r="A2072" s="21" t="s">
        <v>2166</v>
      </c>
      <c r="B2072" s="22" t="s">
        <v>56</v>
      </c>
      <c r="C2072" s="22" t="s">
        <v>124</v>
      </c>
      <c r="D2072" s="23">
        <v>1</v>
      </c>
      <c r="E2072" s="24">
        <f>SUM($D$2:D2072)/SUM($D$2:$D$2846)</f>
        <v>0.93423959218351738</v>
      </c>
      <c r="F2072" s="22" t="s">
        <v>53</v>
      </c>
      <c r="G2072" s="25" t="s">
        <v>125</v>
      </c>
    </row>
    <row r="2073" spans="1:7">
      <c r="A2073" s="21" t="s">
        <v>2167</v>
      </c>
      <c r="B2073" s="22" t="s">
        <v>56</v>
      </c>
      <c r="C2073" s="22" t="s">
        <v>124</v>
      </c>
      <c r="D2073" s="23">
        <v>1</v>
      </c>
      <c r="E2073" s="24">
        <f>SUM($D$2:D2073)/SUM($D$2:$D$2846)</f>
        <v>0.93432455395072223</v>
      </c>
      <c r="F2073" s="22" t="s">
        <v>53</v>
      </c>
      <c r="G2073" s="25" t="s">
        <v>125</v>
      </c>
    </row>
    <row r="2074" spans="1:7">
      <c r="A2074" s="21" t="s">
        <v>2168</v>
      </c>
      <c r="B2074" s="22" t="s">
        <v>56</v>
      </c>
      <c r="C2074" s="22" t="s">
        <v>124</v>
      </c>
      <c r="D2074" s="23">
        <v>1</v>
      </c>
      <c r="E2074" s="24">
        <f>SUM($D$2:D2074)/SUM($D$2:$D$2846)</f>
        <v>0.93440951571792696</v>
      </c>
      <c r="F2074" s="22" t="s">
        <v>53</v>
      </c>
      <c r="G2074" s="25" t="s">
        <v>125</v>
      </c>
    </row>
    <row r="2075" spans="1:7">
      <c r="A2075" s="21" t="s">
        <v>2169</v>
      </c>
      <c r="B2075" s="22" t="s">
        <v>56</v>
      </c>
      <c r="C2075" s="22" t="s">
        <v>124</v>
      </c>
      <c r="D2075" s="23">
        <v>1</v>
      </c>
      <c r="E2075" s="24">
        <f>SUM($D$2:D2075)/SUM($D$2:$D$2846)</f>
        <v>0.9344944774851317</v>
      </c>
      <c r="F2075" s="22" t="s">
        <v>53</v>
      </c>
      <c r="G2075" s="25" t="s">
        <v>125</v>
      </c>
    </row>
    <row r="2076" spans="1:7">
      <c r="A2076" s="21" t="s">
        <v>2170</v>
      </c>
      <c r="B2076" s="22" t="s">
        <v>56</v>
      </c>
      <c r="C2076" s="22" t="s">
        <v>124</v>
      </c>
      <c r="D2076" s="23">
        <v>1</v>
      </c>
      <c r="E2076" s="24">
        <f>SUM($D$2:D2076)/SUM($D$2:$D$2846)</f>
        <v>0.93457943925233644</v>
      </c>
      <c r="F2076" s="22" t="s">
        <v>53</v>
      </c>
      <c r="G2076" s="25" t="s">
        <v>125</v>
      </c>
    </row>
    <row r="2077" spans="1:7">
      <c r="A2077" s="21" t="s">
        <v>2171</v>
      </c>
      <c r="B2077" s="22" t="s">
        <v>56</v>
      </c>
      <c r="C2077" s="22" t="s">
        <v>124</v>
      </c>
      <c r="D2077" s="23">
        <v>1</v>
      </c>
      <c r="E2077" s="24">
        <f>SUM($D$2:D2077)/SUM($D$2:$D$2846)</f>
        <v>0.93466440101954118</v>
      </c>
      <c r="F2077" s="22" t="s">
        <v>53</v>
      </c>
      <c r="G2077" s="25" t="s">
        <v>125</v>
      </c>
    </row>
    <row r="2078" spans="1:7">
      <c r="A2078" s="21" t="s">
        <v>2172</v>
      </c>
      <c r="B2078" s="26" t="s">
        <v>163</v>
      </c>
      <c r="C2078" s="22" t="s">
        <v>45</v>
      </c>
      <c r="D2078" s="23">
        <v>1</v>
      </c>
      <c r="E2078" s="24">
        <f>SUM($D$2:D2078)/SUM($D$2:$D$2846)</f>
        <v>0.93474936278674592</v>
      </c>
      <c r="F2078" s="22" t="s">
        <v>53</v>
      </c>
      <c r="G2078" s="25" t="s">
        <v>164</v>
      </c>
    </row>
    <row r="2079" spans="1:7">
      <c r="A2079" s="21" t="s">
        <v>2173</v>
      </c>
      <c r="B2079" s="26" t="s">
        <v>163</v>
      </c>
      <c r="C2079" s="22" t="s">
        <v>45</v>
      </c>
      <c r="D2079" s="23">
        <v>1</v>
      </c>
      <c r="E2079" s="24">
        <f>SUM($D$2:D2079)/SUM($D$2:$D$2846)</f>
        <v>0.93483432455395077</v>
      </c>
      <c r="F2079" s="22" t="s">
        <v>53</v>
      </c>
      <c r="G2079" s="25" t="s">
        <v>164</v>
      </c>
    </row>
    <row r="2080" spans="1:7">
      <c r="A2080" s="21" t="s">
        <v>2174</v>
      </c>
      <c r="B2080" s="22" t="s">
        <v>56</v>
      </c>
      <c r="C2080" s="22" t="s">
        <v>124</v>
      </c>
      <c r="D2080" s="23">
        <v>1</v>
      </c>
      <c r="E2080" s="24">
        <f>SUM($D$2:D2080)/SUM($D$2:$D$2846)</f>
        <v>0.93491928632115551</v>
      </c>
      <c r="F2080" s="22" t="s">
        <v>53</v>
      </c>
      <c r="G2080" s="25" t="s">
        <v>125</v>
      </c>
    </row>
    <row r="2081" spans="1:7">
      <c r="A2081" s="21" t="s">
        <v>2175</v>
      </c>
      <c r="B2081" s="22" t="s">
        <v>56</v>
      </c>
      <c r="C2081" s="22" t="s">
        <v>124</v>
      </c>
      <c r="D2081" s="23">
        <v>1</v>
      </c>
      <c r="E2081" s="24">
        <f>SUM($D$2:D2081)/SUM($D$2:$D$2846)</f>
        <v>0.93500424808836025</v>
      </c>
      <c r="F2081" s="22" t="s">
        <v>53</v>
      </c>
      <c r="G2081" s="25" t="s">
        <v>125</v>
      </c>
    </row>
    <row r="2082" spans="1:7">
      <c r="A2082" s="21" t="s">
        <v>2176</v>
      </c>
      <c r="B2082" s="22" t="s">
        <v>56</v>
      </c>
      <c r="C2082" s="22" t="s">
        <v>124</v>
      </c>
      <c r="D2082" s="23">
        <v>1</v>
      </c>
      <c r="E2082" s="24">
        <f>SUM($D$2:D2082)/SUM($D$2:$D$2846)</f>
        <v>0.93508920985556498</v>
      </c>
      <c r="F2082" s="22" t="s">
        <v>53</v>
      </c>
      <c r="G2082" s="25" t="s">
        <v>125</v>
      </c>
    </row>
    <row r="2083" spans="1:7">
      <c r="A2083" s="21" t="s">
        <v>2177</v>
      </c>
      <c r="B2083" s="22" t="s">
        <v>56</v>
      </c>
      <c r="C2083" s="22" t="s">
        <v>124</v>
      </c>
      <c r="D2083" s="23">
        <v>1</v>
      </c>
      <c r="E2083" s="24">
        <f>SUM($D$2:D2083)/SUM($D$2:$D$2846)</f>
        <v>0.93517417162276972</v>
      </c>
      <c r="F2083" s="22" t="s">
        <v>53</v>
      </c>
      <c r="G2083" s="25" t="s">
        <v>125</v>
      </c>
    </row>
    <row r="2084" spans="1:7">
      <c r="A2084" s="21" t="s">
        <v>2178</v>
      </c>
      <c r="B2084" s="22" t="s">
        <v>56</v>
      </c>
      <c r="C2084" s="22" t="s">
        <v>124</v>
      </c>
      <c r="D2084" s="23">
        <v>1</v>
      </c>
      <c r="E2084" s="24">
        <f>SUM($D$2:D2084)/SUM($D$2:$D$2846)</f>
        <v>0.93525913338997446</v>
      </c>
      <c r="F2084" s="22" t="s">
        <v>53</v>
      </c>
      <c r="G2084" s="25" t="s">
        <v>125</v>
      </c>
    </row>
    <row r="2085" spans="1:7">
      <c r="A2085" s="21" t="s">
        <v>2179</v>
      </c>
      <c r="B2085" s="22" t="s">
        <v>56</v>
      </c>
      <c r="C2085" s="22" t="s">
        <v>124</v>
      </c>
      <c r="D2085" s="23">
        <v>1</v>
      </c>
      <c r="E2085" s="24">
        <f>SUM($D$2:D2085)/SUM($D$2:$D$2846)</f>
        <v>0.93534409515717931</v>
      </c>
      <c r="F2085" s="22" t="s">
        <v>53</v>
      </c>
      <c r="G2085" s="25" t="s">
        <v>125</v>
      </c>
    </row>
    <row r="2086" spans="1:7">
      <c r="A2086" s="21" t="s">
        <v>2180</v>
      </c>
      <c r="B2086" s="26" t="s">
        <v>163</v>
      </c>
      <c r="C2086" s="22" t="s">
        <v>45</v>
      </c>
      <c r="D2086" s="23">
        <v>1</v>
      </c>
      <c r="E2086" s="24">
        <f>SUM($D$2:D2086)/SUM($D$2:$D$2846)</f>
        <v>0.93542905692438405</v>
      </c>
      <c r="F2086" s="22" t="s">
        <v>53</v>
      </c>
      <c r="G2086" s="25" t="s">
        <v>164</v>
      </c>
    </row>
    <row r="2087" spans="1:7">
      <c r="A2087" s="21" t="s">
        <v>2181</v>
      </c>
      <c r="B2087" s="26" t="s">
        <v>163</v>
      </c>
      <c r="C2087" s="22" t="s">
        <v>45</v>
      </c>
      <c r="D2087" s="23">
        <v>1</v>
      </c>
      <c r="E2087" s="24">
        <f>SUM($D$2:D2087)/SUM($D$2:$D$2846)</f>
        <v>0.93551401869158879</v>
      </c>
      <c r="F2087" s="22" t="s">
        <v>53</v>
      </c>
      <c r="G2087" s="25" t="s">
        <v>164</v>
      </c>
    </row>
    <row r="2088" spans="1:7">
      <c r="A2088" s="21" t="s">
        <v>2182</v>
      </c>
      <c r="B2088" s="22" t="s">
        <v>56</v>
      </c>
      <c r="C2088" s="22" t="s">
        <v>124</v>
      </c>
      <c r="D2088" s="23">
        <v>1</v>
      </c>
      <c r="E2088" s="24">
        <f>SUM($D$2:D2088)/SUM($D$2:$D$2846)</f>
        <v>0.93559898045879353</v>
      </c>
      <c r="F2088" s="22" t="s">
        <v>53</v>
      </c>
      <c r="G2088" s="25" t="s">
        <v>125</v>
      </c>
    </row>
    <row r="2089" spans="1:7">
      <c r="A2089" s="21" t="s">
        <v>2183</v>
      </c>
      <c r="B2089" s="22" t="s">
        <v>56</v>
      </c>
      <c r="C2089" s="22" t="s">
        <v>124</v>
      </c>
      <c r="D2089" s="23">
        <v>1</v>
      </c>
      <c r="E2089" s="24">
        <f>SUM($D$2:D2089)/SUM($D$2:$D$2846)</f>
        <v>0.93568394222599827</v>
      </c>
      <c r="F2089" s="22" t="s">
        <v>53</v>
      </c>
      <c r="G2089" s="25" t="s">
        <v>125</v>
      </c>
    </row>
    <row r="2090" spans="1:7">
      <c r="A2090" s="21" t="s">
        <v>2184</v>
      </c>
      <c r="B2090" s="22" t="s">
        <v>56</v>
      </c>
      <c r="C2090" s="22" t="s">
        <v>124</v>
      </c>
      <c r="D2090" s="23">
        <v>1</v>
      </c>
      <c r="E2090" s="24">
        <f>SUM($D$2:D2090)/SUM($D$2:$D$2846)</f>
        <v>0.93576890399320301</v>
      </c>
      <c r="F2090" s="22" t="s">
        <v>53</v>
      </c>
      <c r="G2090" s="25" t="s">
        <v>125</v>
      </c>
    </row>
    <row r="2091" spans="1:7">
      <c r="A2091" s="21" t="s">
        <v>2185</v>
      </c>
      <c r="B2091" s="22" t="s">
        <v>56</v>
      </c>
      <c r="C2091" s="22" t="s">
        <v>124</v>
      </c>
      <c r="D2091" s="23">
        <v>1</v>
      </c>
      <c r="E2091" s="24">
        <f>SUM($D$2:D2091)/SUM($D$2:$D$2846)</f>
        <v>0.93585386576040785</v>
      </c>
      <c r="F2091" s="22" t="s">
        <v>53</v>
      </c>
      <c r="G2091" s="25" t="s">
        <v>125</v>
      </c>
    </row>
    <row r="2092" spans="1:7">
      <c r="A2092" s="21" t="s">
        <v>2186</v>
      </c>
      <c r="B2092" s="22" t="s">
        <v>56</v>
      </c>
      <c r="C2092" s="22" t="s">
        <v>124</v>
      </c>
      <c r="D2092" s="23">
        <v>1</v>
      </c>
      <c r="E2092" s="24">
        <f>SUM($D$2:D2092)/SUM($D$2:$D$2846)</f>
        <v>0.93593882752761259</v>
      </c>
      <c r="F2092" s="22" t="s">
        <v>53</v>
      </c>
      <c r="G2092" s="25" t="s">
        <v>125</v>
      </c>
    </row>
    <row r="2093" spans="1:7">
      <c r="A2093" s="21" t="s">
        <v>2187</v>
      </c>
      <c r="B2093" s="26" t="s">
        <v>163</v>
      </c>
      <c r="C2093" s="22" t="s">
        <v>45</v>
      </c>
      <c r="D2093" s="23">
        <v>1</v>
      </c>
      <c r="E2093" s="24">
        <f>SUM($D$2:D2093)/SUM($D$2:$D$2846)</f>
        <v>0.93602378929481733</v>
      </c>
      <c r="F2093" s="22" t="s">
        <v>53</v>
      </c>
      <c r="G2093" s="25" t="s">
        <v>164</v>
      </c>
    </row>
    <row r="2094" spans="1:7">
      <c r="A2094" s="21" t="s">
        <v>2188</v>
      </c>
      <c r="B2094" s="26" t="s">
        <v>163</v>
      </c>
      <c r="C2094" s="22" t="s">
        <v>45</v>
      </c>
      <c r="D2094" s="23">
        <v>1</v>
      </c>
      <c r="E2094" s="24">
        <f>SUM($D$2:D2094)/SUM($D$2:$D$2846)</f>
        <v>0.93610875106202207</v>
      </c>
      <c r="F2094" s="22" t="s">
        <v>53</v>
      </c>
      <c r="G2094" s="25" t="s">
        <v>164</v>
      </c>
    </row>
    <row r="2095" spans="1:7">
      <c r="A2095" s="21" t="s">
        <v>2189</v>
      </c>
      <c r="B2095" s="22" t="s">
        <v>56</v>
      </c>
      <c r="C2095" s="22" t="s">
        <v>124</v>
      </c>
      <c r="D2095" s="23">
        <v>1</v>
      </c>
      <c r="E2095" s="24">
        <f>SUM($D$2:D2095)/SUM($D$2:$D$2846)</f>
        <v>0.93619371282922681</v>
      </c>
      <c r="F2095" s="22" t="s">
        <v>53</v>
      </c>
      <c r="G2095" s="25" t="s">
        <v>125</v>
      </c>
    </row>
    <row r="2096" spans="1:7">
      <c r="A2096" s="21" t="s">
        <v>2190</v>
      </c>
      <c r="B2096" s="26" t="s">
        <v>163</v>
      </c>
      <c r="C2096" s="22" t="s">
        <v>45</v>
      </c>
      <c r="D2096" s="23">
        <v>1</v>
      </c>
      <c r="E2096" s="24">
        <f>SUM($D$2:D2096)/SUM($D$2:$D$2846)</f>
        <v>0.93627867459643166</v>
      </c>
      <c r="F2096" s="22" t="s">
        <v>53</v>
      </c>
      <c r="G2096" s="25" t="s">
        <v>164</v>
      </c>
    </row>
    <row r="2097" spans="1:7">
      <c r="A2097" s="21" t="s">
        <v>2191</v>
      </c>
      <c r="B2097" s="26" t="s">
        <v>163</v>
      </c>
      <c r="C2097" s="22" t="s">
        <v>45</v>
      </c>
      <c r="D2097" s="23">
        <v>1</v>
      </c>
      <c r="E2097" s="24">
        <f>SUM($D$2:D2097)/SUM($D$2:$D$2846)</f>
        <v>0.9363636363636364</v>
      </c>
      <c r="F2097" s="22" t="s">
        <v>53</v>
      </c>
      <c r="G2097" s="25" t="s">
        <v>164</v>
      </c>
    </row>
    <row r="2098" spans="1:7">
      <c r="A2098" s="21" t="s">
        <v>2192</v>
      </c>
      <c r="B2098" s="26" t="s">
        <v>163</v>
      </c>
      <c r="C2098" s="22" t="s">
        <v>45</v>
      </c>
      <c r="D2098" s="23">
        <v>1</v>
      </c>
      <c r="E2098" s="24">
        <f>SUM($D$2:D2098)/SUM($D$2:$D$2846)</f>
        <v>0.93644859813084114</v>
      </c>
      <c r="F2098" s="22" t="s">
        <v>53</v>
      </c>
      <c r="G2098" s="25" t="s">
        <v>164</v>
      </c>
    </row>
    <row r="2099" spans="1:7">
      <c r="A2099" s="21" t="s">
        <v>2193</v>
      </c>
      <c r="B2099" s="26" t="s">
        <v>163</v>
      </c>
      <c r="C2099" s="22" t="s">
        <v>45</v>
      </c>
      <c r="D2099" s="23">
        <v>1</v>
      </c>
      <c r="E2099" s="24">
        <f>SUM($D$2:D2099)/SUM($D$2:$D$2846)</f>
        <v>0.93653355989804588</v>
      </c>
      <c r="F2099" s="22" t="s">
        <v>53</v>
      </c>
      <c r="G2099" s="25" t="s">
        <v>164</v>
      </c>
    </row>
    <row r="2100" spans="1:7">
      <c r="A2100" s="21" t="s">
        <v>2194</v>
      </c>
      <c r="B2100" s="26" t="s">
        <v>163</v>
      </c>
      <c r="C2100" s="22" t="s">
        <v>45</v>
      </c>
      <c r="D2100" s="23">
        <v>1</v>
      </c>
      <c r="E2100" s="24">
        <f>SUM($D$2:D2100)/SUM($D$2:$D$2846)</f>
        <v>0.93661852166525061</v>
      </c>
      <c r="F2100" s="22" t="s">
        <v>53</v>
      </c>
      <c r="G2100" s="25" t="s">
        <v>164</v>
      </c>
    </row>
    <row r="2101" spans="1:7">
      <c r="A2101" s="21" t="s">
        <v>2195</v>
      </c>
      <c r="B2101" s="22" t="s">
        <v>56</v>
      </c>
      <c r="C2101" s="22" t="s">
        <v>124</v>
      </c>
      <c r="D2101" s="23">
        <v>1</v>
      </c>
      <c r="E2101" s="24">
        <f>SUM($D$2:D2101)/SUM($D$2:$D$2846)</f>
        <v>0.93670348343245535</v>
      </c>
      <c r="F2101" s="22" t="s">
        <v>53</v>
      </c>
      <c r="G2101" s="25" t="s">
        <v>125</v>
      </c>
    </row>
    <row r="2102" spans="1:7">
      <c r="A2102" s="21" t="s">
        <v>2196</v>
      </c>
      <c r="B2102" s="22" t="s">
        <v>56</v>
      </c>
      <c r="C2102" s="22" t="s">
        <v>124</v>
      </c>
      <c r="D2102" s="23">
        <v>1</v>
      </c>
      <c r="E2102" s="24">
        <f>SUM($D$2:D2102)/SUM($D$2:$D$2846)</f>
        <v>0.9367884451996602</v>
      </c>
      <c r="F2102" s="22" t="s">
        <v>53</v>
      </c>
      <c r="G2102" s="25" t="s">
        <v>125</v>
      </c>
    </row>
    <row r="2103" spans="1:7">
      <c r="A2103" s="21" t="s">
        <v>2197</v>
      </c>
      <c r="B2103" s="26" t="s">
        <v>163</v>
      </c>
      <c r="C2103" s="22" t="s">
        <v>45</v>
      </c>
      <c r="D2103" s="23">
        <v>1</v>
      </c>
      <c r="E2103" s="24">
        <f>SUM($D$2:D2103)/SUM($D$2:$D$2846)</f>
        <v>0.93687340696686494</v>
      </c>
      <c r="F2103" s="22" t="s">
        <v>53</v>
      </c>
      <c r="G2103" s="25" t="s">
        <v>164</v>
      </c>
    </row>
    <row r="2104" spans="1:7">
      <c r="A2104" s="21" t="s">
        <v>2198</v>
      </c>
      <c r="B2104" s="26" t="s">
        <v>163</v>
      </c>
      <c r="C2104" s="22" t="s">
        <v>45</v>
      </c>
      <c r="D2104" s="23">
        <v>1</v>
      </c>
      <c r="E2104" s="24">
        <f>SUM($D$2:D2104)/SUM($D$2:$D$2846)</f>
        <v>0.93695836873406968</v>
      </c>
      <c r="F2104" s="22" t="s">
        <v>53</v>
      </c>
      <c r="G2104" s="25" t="s">
        <v>164</v>
      </c>
    </row>
    <row r="2105" spans="1:7">
      <c r="A2105" s="21" t="s">
        <v>2199</v>
      </c>
      <c r="B2105" s="26" t="s">
        <v>163</v>
      </c>
      <c r="C2105" s="22" t="s">
        <v>45</v>
      </c>
      <c r="D2105" s="23">
        <v>1</v>
      </c>
      <c r="E2105" s="24">
        <f>SUM($D$2:D2105)/SUM($D$2:$D$2846)</f>
        <v>0.93704333050127442</v>
      </c>
      <c r="F2105" s="22" t="s">
        <v>53</v>
      </c>
      <c r="G2105" s="25" t="s">
        <v>164</v>
      </c>
    </row>
    <row r="2106" spans="1:7">
      <c r="A2106" s="21" t="s">
        <v>2200</v>
      </c>
      <c r="B2106" s="26" t="s">
        <v>163</v>
      </c>
      <c r="C2106" s="22" t="s">
        <v>45</v>
      </c>
      <c r="D2106" s="23">
        <v>1</v>
      </c>
      <c r="E2106" s="24">
        <f>SUM($D$2:D2106)/SUM($D$2:$D$2846)</f>
        <v>0.93712829226847916</v>
      </c>
      <c r="F2106" s="22" t="s">
        <v>53</v>
      </c>
      <c r="G2106" s="25" t="s">
        <v>164</v>
      </c>
    </row>
    <row r="2107" spans="1:7">
      <c r="A2107" s="21" t="s">
        <v>2201</v>
      </c>
      <c r="B2107" s="26" t="s">
        <v>163</v>
      </c>
      <c r="C2107" s="22" t="s">
        <v>45</v>
      </c>
      <c r="D2107" s="23">
        <v>1</v>
      </c>
      <c r="E2107" s="24">
        <f>SUM($D$2:D2107)/SUM($D$2:$D$2846)</f>
        <v>0.9372132540356839</v>
      </c>
      <c r="F2107" s="22" t="s">
        <v>53</v>
      </c>
      <c r="G2107" s="25" t="s">
        <v>164</v>
      </c>
    </row>
    <row r="2108" spans="1:7">
      <c r="A2108" s="21" t="s">
        <v>2202</v>
      </c>
      <c r="B2108" s="22" t="s">
        <v>56</v>
      </c>
      <c r="C2108" s="22" t="s">
        <v>124</v>
      </c>
      <c r="D2108" s="23">
        <v>1</v>
      </c>
      <c r="E2108" s="24">
        <f>SUM($D$2:D2108)/SUM($D$2:$D$2846)</f>
        <v>0.93729821580288875</v>
      </c>
      <c r="F2108" s="22" t="s">
        <v>53</v>
      </c>
      <c r="G2108" s="25" t="s">
        <v>125</v>
      </c>
    </row>
    <row r="2109" spans="1:7">
      <c r="A2109" s="21" t="s">
        <v>2203</v>
      </c>
      <c r="B2109" s="26" t="s">
        <v>163</v>
      </c>
      <c r="C2109" s="22" t="s">
        <v>45</v>
      </c>
      <c r="D2109" s="23">
        <v>1</v>
      </c>
      <c r="E2109" s="24">
        <f>SUM($D$2:D2109)/SUM($D$2:$D$2846)</f>
        <v>0.93738317757009348</v>
      </c>
      <c r="F2109" s="22" t="s">
        <v>53</v>
      </c>
      <c r="G2109" s="25" t="s">
        <v>164</v>
      </c>
    </row>
    <row r="2110" spans="1:7">
      <c r="A2110" s="21" t="s">
        <v>2204</v>
      </c>
      <c r="B2110" s="26" t="s">
        <v>163</v>
      </c>
      <c r="C2110" s="22" t="s">
        <v>45</v>
      </c>
      <c r="D2110" s="23">
        <v>1</v>
      </c>
      <c r="E2110" s="24">
        <f>SUM($D$2:D2110)/SUM($D$2:$D$2846)</f>
        <v>0.93746813933729822</v>
      </c>
      <c r="F2110" s="22" t="s">
        <v>53</v>
      </c>
      <c r="G2110" s="25" t="s">
        <v>164</v>
      </c>
    </row>
    <row r="2111" spans="1:7">
      <c r="A2111" s="21" t="s">
        <v>2205</v>
      </c>
      <c r="B2111" s="22" t="s">
        <v>56</v>
      </c>
      <c r="C2111" s="22" t="s">
        <v>124</v>
      </c>
      <c r="D2111" s="23">
        <v>1</v>
      </c>
      <c r="E2111" s="24">
        <f>SUM($D$2:D2111)/SUM($D$2:$D$2846)</f>
        <v>0.93755310110450296</v>
      </c>
      <c r="F2111" s="22" t="s">
        <v>53</v>
      </c>
      <c r="G2111" s="25" t="s">
        <v>125</v>
      </c>
    </row>
    <row r="2112" spans="1:7">
      <c r="A2112" s="21" t="s">
        <v>2206</v>
      </c>
      <c r="B2112" s="26" t="s">
        <v>163</v>
      </c>
      <c r="C2112" s="22" t="s">
        <v>45</v>
      </c>
      <c r="D2112" s="23">
        <v>1</v>
      </c>
      <c r="E2112" s="24">
        <f>SUM($D$2:D2112)/SUM($D$2:$D$2846)</f>
        <v>0.9376380628717077</v>
      </c>
      <c r="F2112" s="22" t="s">
        <v>53</v>
      </c>
      <c r="G2112" s="25" t="s">
        <v>164</v>
      </c>
    </row>
    <row r="2113" spans="1:7">
      <c r="A2113" s="21" t="s">
        <v>2207</v>
      </c>
      <c r="B2113" s="26" t="s">
        <v>163</v>
      </c>
      <c r="C2113" s="22" t="s">
        <v>45</v>
      </c>
      <c r="D2113" s="23">
        <v>1</v>
      </c>
      <c r="E2113" s="24">
        <f>SUM($D$2:D2113)/SUM($D$2:$D$2846)</f>
        <v>0.93772302463891244</v>
      </c>
      <c r="F2113" s="22" t="s">
        <v>53</v>
      </c>
      <c r="G2113" s="25" t="s">
        <v>164</v>
      </c>
    </row>
    <row r="2114" spans="1:7">
      <c r="A2114" s="21" t="s">
        <v>2208</v>
      </c>
      <c r="B2114" s="26" t="s">
        <v>163</v>
      </c>
      <c r="C2114" s="22" t="s">
        <v>45</v>
      </c>
      <c r="D2114" s="23">
        <v>1</v>
      </c>
      <c r="E2114" s="24">
        <f>SUM($D$2:D2114)/SUM($D$2:$D$2846)</f>
        <v>0.93780798640611729</v>
      </c>
      <c r="F2114" s="22" t="s">
        <v>53</v>
      </c>
      <c r="G2114" s="25" t="s">
        <v>164</v>
      </c>
    </row>
    <row r="2115" spans="1:7">
      <c r="A2115" s="21" t="s">
        <v>2209</v>
      </c>
      <c r="B2115" s="22" t="s">
        <v>56</v>
      </c>
      <c r="C2115" s="22" t="s">
        <v>124</v>
      </c>
      <c r="D2115" s="23">
        <v>1</v>
      </c>
      <c r="E2115" s="24">
        <f>SUM($D$2:D2115)/SUM($D$2:$D$2846)</f>
        <v>0.93789294817332203</v>
      </c>
      <c r="F2115" s="22" t="s">
        <v>53</v>
      </c>
      <c r="G2115" s="25" t="s">
        <v>125</v>
      </c>
    </row>
    <row r="2116" spans="1:7">
      <c r="A2116" s="21" t="s">
        <v>2210</v>
      </c>
      <c r="B2116" s="26" t="s">
        <v>163</v>
      </c>
      <c r="C2116" s="22" t="s">
        <v>45</v>
      </c>
      <c r="D2116" s="23">
        <v>1</v>
      </c>
      <c r="E2116" s="24">
        <f>SUM($D$2:D2116)/SUM($D$2:$D$2846)</f>
        <v>0.93797790994052677</v>
      </c>
      <c r="F2116" s="22" t="s">
        <v>53</v>
      </c>
      <c r="G2116" s="25" t="s">
        <v>164</v>
      </c>
    </row>
    <row r="2117" spans="1:7">
      <c r="A2117" s="21" t="s">
        <v>2211</v>
      </c>
      <c r="B2117" s="22" t="s">
        <v>56</v>
      </c>
      <c r="C2117" s="22" t="s">
        <v>124</v>
      </c>
      <c r="D2117" s="23">
        <v>1</v>
      </c>
      <c r="E2117" s="24">
        <f>SUM($D$2:D2117)/SUM($D$2:$D$2846)</f>
        <v>0.9380628717077315</v>
      </c>
      <c r="F2117" s="22" t="s">
        <v>53</v>
      </c>
      <c r="G2117" s="25" t="s">
        <v>125</v>
      </c>
    </row>
    <row r="2118" spans="1:7">
      <c r="A2118" s="21" t="s">
        <v>2212</v>
      </c>
      <c r="B2118" s="22" t="s">
        <v>56</v>
      </c>
      <c r="C2118" s="22" t="s">
        <v>124</v>
      </c>
      <c r="D2118" s="23">
        <v>1</v>
      </c>
      <c r="E2118" s="24">
        <f>SUM($D$2:D2118)/SUM($D$2:$D$2846)</f>
        <v>0.93814783347493624</v>
      </c>
      <c r="F2118" s="22" t="s">
        <v>53</v>
      </c>
      <c r="G2118" s="25" t="s">
        <v>125</v>
      </c>
    </row>
    <row r="2119" spans="1:7">
      <c r="A2119" s="21" t="s">
        <v>2213</v>
      </c>
      <c r="B2119" s="22" t="s">
        <v>56</v>
      </c>
      <c r="C2119" s="22" t="s">
        <v>124</v>
      </c>
      <c r="D2119" s="23">
        <v>1</v>
      </c>
      <c r="E2119" s="24">
        <f>SUM($D$2:D2119)/SUM($D$2:$D$2846)</f>
        <v>0.93823279524214098</v>
      </c>
      <c r="F2119" s="22" t="s">
        <v>53</v>
      </c>
      <c r="G2119" s="25" t="s">
        <v>125</v>
      </c>
    </row>
    <row r="2120" spans="1:7">
      <c r="A2120" s="21" t="s">
        <v>2214</v>
      </c>
      <c r="B2120" s="26" t="s">
        <v>163</v>
      </c>
      <c r="C2120" s="22" t="s">
        <v>45</v>
      </c>
      <c r="D2120" s="23">
        <v>1</v>
      </c>
      <c r="E2120" s="24">
        <f>SUM($D$2:D2120)/SUM($D$2:$D$2846)</f>
        <v>0.93831775700934583</v>
      </c>
      <c r="F2120" s="22" t="s">
        <v>53</v>
      </c>
      <c r="G2120" s="25" t="s">
        <v>164</v>
      </c>
    </row>
    <row r="2121" spans="1:7">
      <c r="A2121" s="21" t="s">
        <v>98</v>
      </c>
      <c r="B2121" s="26" t="s">
        <v>56</v>
      </c>
      <c r="C2121" s="22" t="s">
        <v>45</v>
      </c>
      <c r="D2121" s="23">
        <v>1</v>
      </c>
      <c r="E2121" s="24">
        <f>SUM($D$2:D2121)/SUM($D$2:$D$2846)</f>
        <v>0.93840271877655057</v>
      </c>
      <c r="F2121" s="22" t="s">
        <v>53</v>
      </c>
      <c r="G2121" s="25" t="s">
        <v>57</v>
      </c>
    </row>
    <row r="2122" spans="1:7">
      <c r="A2122" s="21" t="s">
        <v>2215</v>
      </c>
      <c r="B2122" s="26" t="s">
        <v>163</v>
      </c>
      <c r="C2122" s="22" t="s">
        <v>45</v>
      </c>
      <c r="D2122" s="23">
        <v>1</v>
      </c>
      <c r="E2122" s="24">
        <f>SUM($D$2:D2122)/SUM($D$2:$D$2846)</f>
        <v>0.93848768054375531</v>
      </c>
      <c r="F2122" s="22" t="s">
        <v>53</v>
      </c>
      <c r="G2122" s="25" t="s">
        <v>164</v>
      </c>
    </row>
    <row r="2123" spans="1:7">
      <c r="A2123" s="21" t="s">
        <v>2216</v>
      </c>
      <c r="B2123" s="26" t="s">
        <v>163</v>
      </c>
      <c r="C2123" s="22" t="s">
        <v>45</v>
      </c>
      <c r="D2123" s="23">
        <v>1</v>
      </c>
      <c r="E2123" s="24">
        <f>SUM($D$2:D2123)/SUM($D$2:$D$2846)</f>
        <v>0.93857264231096005</v>
      </c>
      <c r="F2123" s="22" t="s">
        <v>53</v>
      </c>
      <c r="G2123" s="25" t="s">
        <v>164</v>
      </c>
    </row>
    <row r="2124" spans="1:7">
      <c r="A2124" s="21" t="s">
        <v>2217</v>
      </c>
      <c r="B2124" s="26" t="s">
        <v>163</v>
      </c>
      <c r="C2124" s="22" t="s">
        <v>45</v>
      </c>
      <c r="D2124" s="23">
        <v>1</v>
      </c>
      <c r="E2124" s="24">
        <f>SUM($D$2:D2124)/SUM($D$2:$D$2846)</f>
        <v>0.93865760407816479</v>
      </c>
      <c r="F2124" s="22" t="s">
        <v>53</v>
      </c>
      <c r="G2124" s="25" t="s">
        <v>164</v>
      </c>
    </row>
    <row r="2125" spans="1:7">
      <c r="A2125" s="21" t="s">
        <v>2218</v>
      </c>
      <c r="B2125" s="26" t="s">
        <v>163</v>
      </c>
      <c r="C2125" s="22" t="s">
        <v>45</v>
      </c>
      <c r="D2125" s="23">
        <v>1</v>
      </c>
      <c r="E2125" s="24">
        <f>SUM($D$2:D2125)/SUM($D$2:$D$2846)</f>
        <v>0.93874256584536964</v>
      </c>
      <c r="F2125" s="22" t="s">
        <v>53</v>
      </c>
      <c r="G2125" s="25" t="s">
        <v>164</v>
      </c>
    </row>
    <row r="2126" spans="1:7">
      <c r="A2126" s="21" t="s">
        <v>2219</v>
      </c>
      <c r="B2126" s="26" t="s">
        <v>163</v>
      </c>
      <c r="C2126" s="22" t="s">
        <v>45</v>
      </c>
      <c r="D2126" s="23">
        <v>1</v>
      </c>
      <c r="E2126" s="24">
        <f>SUM($D$2:D2126)/SUM($D$2:$D$2846)</f>
        <v>0.93882752761257438</v>
      </c>
      <c r="F2126" s="22" t="s">
        <v>53</v>
      </c>
      <c r="G2126" s="25" t="s">
        <v>164</v>
      </c>
    </row>
    <row r="2127" spans="1:7">
      <c r="A2127" s="21" t="s">
        <v>2220</v>
      </c>
      <c r="B2127" s="22" t="s">
        <v>56</v>
      </c>
      <c r="C2127" s="22" t="s">
        <v>124</v>
      </c>
      <c r="D2127" s="23">
        <v>1</v>
      </c>
      <c r="E2127" s="24">
        <f>SUM($D$2:D2127)/SUM($D$2:$D$2846)</f>
        <v>0.93891248937977911</v>
      </c>
      <c r="F2127" s="22" t="s">
        <v>53</v>
      </c>
      <c r="G2127" s="25" t="s">
        <v>125</v>
      </c>
    </row>
    <row r="2128" spans="1:7">
      <c r="A2128" s="21" t="s">
        <v>2221</v>
      </c>
      <c r="B2128" s="22" t="s">
        <v>56</v>
      </c>
      <c r="C2128" s="22" t="s">
        <v>124</v>
      </c>
      <c r="D2128" s="23">
        <v>1</v>
      </c>
      <c r="E2128" s="24">
        <f>SUM($D$2:D2128)/SUM($D$2:$D$2846)</f>
        <v>0.93899745114698385</v>
      </c>
      <c r="F2128" s="22" t="s">
        <v>53</v>
      </c>
      <c r="G2128" s="25" t="s">
        <v>125</v>
      </c>
    </row>
    <row r="2129" spans="1:7">
      <c r="A2129" s="21" t="s">
        <v>2222</v>
      </c>
      <c r="B2129" s="26" t="s">
        <v>163</v>
      </c>
      <c r="C2129" s="22" t="s">
        <v>45</v>
      </c>
      <c r="D2129" s="23">
        <v>1</v>
      </c>
      <c r="E2129" s="24">
        <f>SUM($D$2:D2129)/SUM($D$2:$D$2846)</f>
        <v>0.93908241291418859</v>
      </c>
      <c r="F2129" s="22" t="s">
        <v>53</v>
      </c>
      <c r="G2129" s="25" t="s">
        <v>164</v>
      </c>
    </row>
    <row r="2130" spans="1:7">
      <c r="A2130" s="21" t="s">
        <v>2223</v>
      </c>
      <c r="B2130" s="26" t="s">
        <v>163</v>
      </c>
      <c r="C2130" s="22" t="s">
        <v>45</v>
      </c>
      <c r="D2130" s="23">
        <v>1</v>
      </c>
      <c r="E2130" s="24">
        <f>SUM($D$2:D2130)/SUM($D$2:$D$2846)</f>
        <v>0.93916737468139333</v>
      </c>
      <c r="F2130" s="22" t="s">
        <v>53</v>
      </c>
      <c r="G2130" s="25" t="s">
        <v>164</v>
      </c>
    </row>
    <row r="2131" spans="1:7">
      <c r="A2131" s="21" t="s">
        <v>2224</v>
      </c>
      <c r="B2131" s="26" t="s">
        <v>163</v>
      </c>
      <c r="C2131" s="22" t="s">
        <v>45</v>
      </c>
      <c r="D2131" s="23">
        <v>1</v>
      </c>
      <c r="E2131" s="24">
        <f>SUM($D$2:D2131)/SUM($D$2:$D$2846)</f>
        <v>0.93925233644859818</v>
      </c>
      <c r="F2131" s="22" t="s">
        <v>53</v>
      </c>
      <c r="G2131" s="25" t="s">
        <v>164</v>
      </c>
    </row>
    <row r="2132" spans="1:7">
      <c r="A2132" s="21" t="s">
        <v>2225</v>
      </c>
      <c r="B2132" s="26" t="s">
        <v>163</v>
      </c>
      <c r="C2132" s="22" t="s">
        <v>45</v>
      </c>
      <c r="D2132" s="23">
        <v>1</v>
      </c>
      <c r="E2132" s="24">
        <f>SUM($D$2:D2132)/SUM($D$2:$D$2846)</f>
        <v>0.93933729821580292</v>
      </c>
      <c r="F2132" s="22" t="s">
        <v>53</v>
      </c>
      <c r="G2132" s="25" t="s">
        <v>164</v>
      </c>
    </row>
    <row r="2133" spans="1:7">
      <c r="A2133" s="21" t="s">
        <v>2226</v>
      </c>
      <c r="B2133" s="22" t="s">
        <v>56</v>
      </c>
      <c r="C2133" s="22" t="s">
        <v>124</v>
      </c>
      <c r="D2133" s="23">
        <v>1</v>
      </c>
      <c r="E2133" s="24">
        <f>SUM($D$2:D2133)/SUM($D$2:$D$2846)</f>
        <v>0.93942225998300766</v>
      </c>
      <c r="F2133" s="22" t="s">
        <v>53</v>
      </c>
      <c r="G2133" s="25" t="s">
        <v>125</v>
      </c>
    </row>
    <row r="2134" spans="1:7">
      <c r="A2134" s="21" t="s">
        <v>2227</v>
      </c>
      <c r="B2134" s="26" t="s">
        <v>163</v>
      </c>
      <c r="C2134" s="22" t="s">
        <v>45</v>
      </c>
      <c r="D2134" s="23">
        <v>1</v>
      </c>
      <c r="E2134" s="24">
        <f>SUM($D$2:D2134)/SUM($D$2:$D$2846)</f>
        <v>0.9395072217502124</v>
      </c>
      <c r="F2134" s="22" t="s">
        <v>53</v>
      </c>
      <c r="G2134" s="25" t="s">
        <v>164</v>
      </c>
    </row>
    <row r="2135" spans="1:7">
      <c r="A2135" s="21" t="s">
        <v>2228</v>
      </c>
      <c r="B2135" s="26" t="s">
        <v>163</v>
      </c>
      <c r="C2135" s="22" t="s">
        <v>45</v>
      </c>
      <c r="D2135" s="23">
        <v>1</v>
      </c>
      <c r="E2135" s="24">
        <f>SUM($D$2:D2135)/SUM($D$2:$D$2846)</f>
        <v>0.93959218351741713</v>
      </c>
      <c r="F2135" s="22" t="s">
        <v>53</v>
      </c>
      <c r="G2135" s="25" t="s">
        <v>164</v>
      </c>
    </row>
    <row r="2136" spans="1:7">
      <c r="A2136" s="21" t="s">
        <v>2229</v>
      </c>
      <c r="B2136" s="26" t="s">
        <v>163</v>
      </c>
      <c r="C2136" s="22" t="s">
        <v>45</v>
      </c>
      <c r="D2136" s="23">
        <v>1</v>
      </c>
      <c r="E2136" s="24">
        <f>SUM($D$2:D2136)/SUM($D$2:$D$2846)</f>
        <v>0.93967714528462187</v>
      </c>
      <c r="F2136" s="22" t="s">
        <v>53</v>
      </c>
      <c r="G2136" s="25" t="s">
        <v>164</v>
      </c>
    </row>
    <row r="2137" spans="1:7">
      <c r="A2137" s="21" t="s">
        <v>2230</v>
      </c>
      <c r="B2137" s="26" t="s">
        <v>163</v>
      </c>
      <c r="C2137" s="22" t="s">
        <v>45</v>
      </c>
      <c r="D2137" s="23">
        <v>1</v>
      </c>
      <c r="E2137" s="24">
        <f>SUM($D$2:D2137)/SUM($D$2:$D$2846)</f>
        <v>0.93976210705182672</v>
      </c>
      <c r="F2137" s="22" t="s">
        <v>53</v>
      </c>
      <c r="G2137" s="25" t="s">
        <v>164</v>
      </c>
    </row>
    <row r="2138" spans="1:7">
      <c r="A2138" s="21" t="s">
        <v>2231</v>
      </c>
      <c r="B2138" s="26" t="s">
        <v>163</v>
      </c>
      <c r="C2138" s="22" t="s">
        <v>45</v>
      </c>
      <c r="D2138" s="23">
        <v>1</v>
      </c>
      <c r="E2138" s="24">
        <f>SUM($D$2:D2138)/SUM($D$2:$D$2846)</f>
        <v>0.93984706881903146</v>
      </c>
      <c r="F2138" s="22" t="s">
        <v>53</v>
      </c>
      <c r="G2138" s="25" t="s">
        <v>164</v>
      </c>
    </row>
    <row r="2139" spans="1:7">
      <c r="A2139" s="21" t="s">
        <v>2232</v>
      </c>
      <c r="B2139" s="26" t="s">
        <v>163</v>
      </c>
      <c r="C2139" s="22" t="s">
        <v>45</v>
      </c>
      <c r="D2139" s="23">
        <v>1</v>
      </c>
      <c r="E2139" s="24">
        <f>SUM($D$2:D2139)/SUM($D$2:$D$2846)</f>
        <v>0.9399320305862362</v>
      </c>
      <c r="F2139" s="22" t="s">
        <v>53</v>
      </c>
      <c r="G2139" s="25" t="s">
        <v>164</v>
      </c>
    </row>
    <row r="2140" spans="1:7">
      <c r="A2140" s="21" t="s">
        <v>2233</v>
      </c>
      <c r="B2140" s="26" t="s">
        <v>163</v>
      </c>
      <c r="C2140" s="22" t="s">
        <v>45</v>
      </c>
      <c r="D2140" s="23">
        <v>1</v>
      </c>
      <c r="E2140" s="24">
        <f>SUM($D$2:D2140)/SUM($D$2:$D$2846)</f>
        <v>0.94001699235344094</v>
      </c>
      <c r="F2140" s="22" t="s">
        <v>53</v>
      </c>
      <c r="G2140" s="25" t="s">
        <v>164</v>
      </c>
    </row>
    <row r="2141" spans="1:7">
      <c r="A2141" s="21" t="s">
        <v>2234</v>
      </c>
      <c r="B2141" s="22" t="s">
        <v>56</v>
      </c>
      <c r="C2141" s="22" t="s">
        <v>124</v>
      </c>
      <c r="D2141" s="23">
        <v>1</v>
      </c>
      <c r="E2141" s="24">
        <f>SUM($D$2:D2141)/SUM($D$2:$D$2846)</f>
        <v>0.94010195412064568</v>
      </c>
      <c r="F2141" s="22" t="s">
        <v>53</v>
      </c>
      <c r="G2141" s="25" t="s">
        <v>125</v>
      </c>
    </row>
    <row r="2142" spans="1:7">
      <c r="A2142" s="21" t="s">
        <v>2235</v>
      </c>
      <c r="B2142" s="26" t="s">
        <v>163</v>
      </c>
      <c r="C2142" s="22" t="s">
        <v>45</v>
      </c>
      <c r="D2142" s="23">
        <v>1</v>
      </c>
      <c r="E2142" s="24">
        <f>SUM($D$2:D2142)/SUM($D$2:$D$2846)</f>
        <v>0.94018691588785042</v>
      </c>
      <c r="F2142" s="22" t="s">
        <v>53</v>
      </c>
      <c r="G2142" s="25" t="s">
        <v>164</v>
      </c>
    </row>
    <row r="2143" spans="1:7">
      <c r="A2143" s="21" t="s">
        <v>2236</v>
      </c>
      <c r="B2143" s="26" t="s">
        <v>163</v>
      </c>
      <c r="C2143" s="22" t="s">
        <v>45</v>
      </c>
      <c r="D2143" s="23">
        <v>1</v>
      </c>
      <c r="E2143" s="24">
        <f>SUM($D$2:D2143)/SUM($D$2:$D$2846)</f>
        <v>0.94027187765505527</v>
      </c>
      <c r="F2143" s="22" t="s">
        <v>53</v>
      </c>
      <c r="G2143" s="25" t="s">
        <v>164</v>
      </c>
    </row>
    <row r="2144" spans="1:7">
      <c r="A2144" s="21" t="s">
        <v>2237</v>
      </c>
      <c r="B2144" s="26" t="s">
        <v>163</v>
      </c>
      <c r="C2144" s="22" t="s">
        <v>45</v>
      </c>
      <c r="D2144" s="23">
        <v>1</v>
      </c>
      <c r="E2144" s="24">
        <f>SUM($D$2:D2144)/SUM($D$2:$D$2846)</f>
        <v>0.94035683942226</v>
      </c>
      <c r="F2144" s="22" t="s">
        <v>53</v>
      </c>
      <c r="G2144" s="25" t="s">
        <v>164</v>
      </c>
    </row>
    <row r="2145" spans="1:7">
      <c r="A2145" s="21" t="s">
        <v>2238</v>
      </c>
      <c r="B2145" s="26" t="s">
        <v>163</v>
      </c>
      <c r="C2145" s="22" t="s">
        <v>45</v>
      </c>
      <c r="D2145" s="23">
        <v>1</v>
      </c>
      <c r="E2145" s="24">
        <f>SUM($D$2:D2145)/SUM($D$2:$D$2846)</f>
        <v>0.94044180118946474</v>
      </c>
      <c r="F2145" s="22" t="s">
        <v>53</v>
      </c>
      <c r="G2145" s="25" t="s">
        <v>164</v>
      </c>
    </row>
    <row r="2146" spans="1:7">
      <c r="A2146" s="21" t="s">
        <v>2239</v>
      </c>
      <c r="B2146" s="22" t="s">
        <v>56</v>
      </c>
      <c r="C2146" s="22" t="s">
        <v>124</v>
      </c>
      <c r="D2146" s="23">
        <v>1</v>
      </c>
      <c r="E2146" s="24">
        <f>SUM($D$2:D2146)/SUM($D$2:$D$2846)</f>
        <v>0.94052676295666948</v>
      </c>
      <c r="F2146" s="22" t="s">
        <v>53</v>
      </c>
      <c r="G2146" s="25" t="s">
        <v>125</v>
      </c>
    </row>
    <row r="2147" spans="1:7">
      <c r="A2147" s="21" t="s">
        <v>2240</v>
      </c>
      <c r="B2147" s="26" t="s">
        <v>163</v>
      </c>
      <c r="C2147" s="22" t="s">
        <v>45</v>
      </c>
      <c r="D2147" s="23">
        <v>1</v>
      </c>
      <c r="E2147" s="24">
        <f>SUM($D$2:D2147)/SUM($D$2:$D$2846)</f>
        <v>0.94061172472387422</v>
      </c>
      <c r="F2147" s="22" t="s">
        <v>53</v>
      </c>
      <c r="G2147" s="25" t="s">
        <v>164</v>
      </c>
    </row>
    <row r="2148" spans="1:7">
      <c r="A2148" s="21" t="s">
        <v>2241</v>
      </c>
      <c r="B2148" s="26" t="s">
        <v>163</v>
      </c>
      <c r="C2148" s="22" t="s">
        <v>45</v>
      </c>
      <c r="D2148" s="23">
        <v>1</v>
      </c>
      <c r="E2148" s="24">
        <f>SUM($D$2:D2148)/SUM($D$2:$D$2846)</f>
        <v>0.94069668649107896</v>
      </c>
      <c r="F2148" s="22" t="s">
        <v>53</v>
      </c>
      <c r="G2148" s="25" t="s">
        <v>164</v>
      </c>
    </row>
    <row r="2149" spans="1:7">
      <c r="A2149" s="21" t="s">
        <v>2242</v>
      </c>
      <c r="B2149" s="26" t="s">
        <v>163</v>
      </c>
      <c r="C2149" s="22" t="s">
        <v>45</v>
      </c>
      <c r="D2149" s="23">
        <v>1</v>
      </c>
      <c r="E2149" s="24">
        <f>SUM($D$2:D2149)/SUM($D$2:$D$2846)</f>
        <v>0.94078164825828381</v>
      </c>
      <c r="F2149" s="22" t="s">
        <v>53</v>
      </c>
      <c r="G2149" s="25" t="s">
        <v>164</v>
      </c>
    </row>
    <row r="2150" spans="1:7">
      <c r="A2150" s="21" t="s">
        <v>2243</v>
      </c>
      <c r="B2150" s="26" t="s">
        <v>163</v>
      </c>
      <c r="C2150" s="22" t="s">
        <v>45</v>
      </c>
      <c r="D2150" s="23">
        <v>1</v>
      </c>
      <c r="E2150" s="24">
        <f>SUM($D$2:D2150)/SUM($D$2:$D$2846)</f>
        <v>0.94086661002548855</v>
      </c>
      <c r="F2150" s="22" t="s">
        <v>53</v>
      </c>
      <c r="G2150" s="25" t="s">
        <v>164</v>
      </c>
    </row>
    <row r="2151" spans="1:7">
      <c r="A2151" s="21" t="s">
        <v>2244</v>
      </c>
      <c r="B2151" s="26" t="s">
        <v>163</v>
      </c>
      <c r="C2151" s="22" t="s">
        <v>45</v>
      </c>
      <c r="D2151" s="23">
        <v>1</v>
      </c>
      <c r="E2151" s="24">
        <f>SUM($D$2:D2151)/SUM($D$2:$D$2846)</f>
        <v>0.94095157179269329</v>
      </c>
      <c r="F2151" s="22" t="s">
        <v>53</v>
      </c>
      <c r="G2151" s="25" t="s">
        <v>164</v>
      </c>
    </row>
    <row r="2152" spans="1:7">
      <c r="A2152" s="21" t="s">
        <v>2245</v>
      </c>
      <c r="B2152" s="22" t="s">
        <v>56</v>
      </c>
      <c r="C2152" s="22" t="s">
        <v>124</v>
      </c>
      <c r="D2152" s="23">
        <v>1</v>
      </c>
      <c r="E2152" s="24">
        <f>SUM($D$2:D2152)/SUM($D$2:$D$2846)</f>
        <v>0.94103653355989803</v>
      </c>
      <c r="F2152" s="22" t="s">
        <v>53</v>
      </c>
      <c r="G2152" s="25" t="s">
        <v>125</v>
      </c>
    </row>
    <row r="2153" spans="1:7">
      <c r="A2153" s="21" t="s">
        <v>2246</v>
      </c>
      <c r="B2153" s="22" t="s">
        <v>56</v>
      </c>
      <c r="C2153" s="22" t="s">
        <v>124</v>
      </c>
      <c r="D2153" s="23">
        <v>1</v>
      </c>
      <c r="E2153" s="24">
        <f>SUM($D$2:D2153)/SUM($D$2:$D$2846)</f>
        <v>0.94112149532710276</v>
      </c>
      <c r="F2153" s="22" t="s">
        <v>53</v>
      </c>
      <c r="G2153" s="25" t="s">
        <v>125</v>
      </c>
    </row>
    <row r="2154" spans="1:7">
      <c r="A2154" s="21" t="s">
        <v>2247</v>
      </c>
      <c r="B2154" s="22" t="s">
        <v>56</v>
      </c>
      <c r="C2154" s="22" t="s">
        <v>124</v>
      </c>
      <c r="D2154" s="23">
        <v>1</v>
      </c>
      <c r="E2154" s="24">
        <f>SUM($D$2:D2154)/SUM($D$2:$D$2846)</f>
        <v>0.94120645709430761</v>
      </c>
      <c r="F2154" s="22" t="s">
        <v>53</v>
      </c>
      <c r="G2154" s="25" t="s">
        <v>125</v>
      </c>
    </row>
    <row r="2155" spans="1:7">
      <c r="A2155" s="21" t="s">
        <v>2248</v>
      </c>
      <c r="B2155" s="22" t="s">
        <v>56</v>
      </c>
      <c r="C2155" s="22" t="s">
        <v>124</v>
      </c>
      <c r="D2155" s="23">
        <v>1</v>
      </c>
      <c r="E2155" s="24">
        <f>SUM($D$2:D2155)/SUM($D$2:$D$2846)</f>
        <v>0.94129141886151235</v>
      </c>
      <c r="F2155" s="22" t="s">
        <v>53</v>
      </c>
      <c r="G2155" s="25" t="s">
        <v>125</v>
      </c>
    </row>
    <row r="2156" spans="1:7">
      <c r="A2156" s="21" t="s">
        <v>2249</v>
      </c>
      <c r="B2156" s="22" t="s">
        <v>56</v>
      </c>
      <c r="C2156" s="22" t="s">
        <v>124</v>
      </c>
      <c r="D2156" s="23">
        <v>1</v>
      </c>
      <c r="E2156" s="24">
        <f>SUM($D$2:D2156)/SUM($D$2:$D$2846)</f>
        <v>0.94137638062871709</v>
      </c>
      <c r="F2156" s="22" t="s">
        <v>53</v>
      </c>
      <c r="G2156" s="25" t="s">
        <v>125</v>
      </c>
    </row>
    <row r="2157" spans="1:7">
      <c r="A2157" s="21" t="s">
        <v>2250</v>
      </c>
      <c r="B2157" s="26" t="s">
        <v>163</v>
      </c>
      <c r="C2157" s="22" t="s">
        <v>45</v>
      </c>
      <c r="D2157" s="23">
        <v>1</v>
      </c>
      <c r="E2157" s="24">
        <f>SUM($D$2:D2157)/SUM($D$2:$D$2846)</f>
        <v>0.94146134239592183</v>
      </c>
      <c r="F2157" s="22" t="s">
        <v>53</v>
      </c>
      <c r="G2157" s="25" t="s">
        <v>164</v>
      </c>
    </row>
    <row r="2158" spans="1:7">
      <c r="A2158" s="21" t="s">
        <v>2251</v>
      </c>
      <c r="B2158" s="26" t="s">
        <v>163</v>
      </c>
      <c r="C2158" s="22" t="s">
        <v>45</v>
      </c>
      <c r="D2158" s="23">
        <v>1</v>
      </c>
      <c r="E2158" s="24">
        <f>SUM($D$2:D2158)/SUM($D$2:$D$2846)</f>
        <v>0.94154630416312657</v>
      </c>
      <c r="F2158" s="22" t="s">
        <v>53</v>
      </c>
      <c r="G2158" s="25" t="s">
        <v>164</v>
      </c>
    </row>
    <row r="2159" spans="1:7">
      <c r="A2159" s="21" t="s">
        <v>2252</v>
      </c>
      <c r="B2159" s="26" t="s">
        <v>163</v>
      </c>
      <c r="C2159" s="22" t="s">
        <v>45</v>
      </c>
      <c r="D2159" s="23">
        <v>1</v>
      </c>
      <c r="E2159" s="24">
        <f>SUM($D$2:D2159)/SUM($D$2:$D$2846)</f>
        <v>0.94163126593033131</v>
      </c>
      <c r="F2159" s="22" t="s">
        <v>53</v>
      </c>
      <c r="G2159" s="25" t="s">
        <v>164</v>
      </c>
    </row>
    <row r="2160" spans="1:7">
      <c r="A2160" s="21" t="s">
        <v>2253</v>
      </c>
      <c r="B2160" s="26" t="s">
        <v>163</v>
      </c>
      <c r="C2160" s="22" t="s">
        <v>45</v>
      </c>
      <c r="D2160" s="23">
        <v>1</v>
      </c>
      <c r="E2160" s="24">
        <f>SUM($D$2:D2160)/SUM($D$2:$D$2846)</f>
        <v>0.94171622769753616</v>
      </c>
      <c r="F2160" s="22" t="s">
        <v>53</v>
      </c>
      <c r="G2160" s="25" t="s">
        <v>164</v>
      </c>
    </row>
    <row r="2161" spans="1:7">
      <c r="A2161" s="21" t="s">
        <v>2254</v>
      </c>
      <c r="B2161" s="26" t="s">
        <v>163</v>
      </c>
      <c r="C2161" s="22" t="s">
        <v>45</v>
      </c>
      <c r="D2161" s="23">
        <v>1</v>
      </c>
      <c r="E2161" s="24">
        <f>SUM($D$2:D2161)/SUM($D$2:$D$2846)</f>
        <v>0.9418011894647409</v>
      </c>
      <c r="F2161" s="22" t="s">
        <v>53</v>
      </c>
      <c r="G2161" s="25" t="s">
        <v>164</v>
      </c>
    </row>
    <row r="2162" spans="1:7">
      <c r="A2162" s="21" t="s">
        <v>2255</v>
      </c>
      <c r="B2162" s="26" t="s">
        <v>163</v>
      </c>
      <c r="C2162" s="22" t="s">
        <v>45</v>
      </c>
      <c r="D2162" s="23">
        <v>1</v>
      </c>
      <c r="E2162" s="24">
        <f>SUM($D$2:D2162)/SUM($D$2:$D$2846)</f>
        <v>0.94188615123194563</v>
      </c>
      <c r="F2162" s="22" t="s">
        <v>53</v>
      </c>
      <c r="G2162" s="25" t="s">
        <v>164</v>
      </c>
    </row>
    <row r="2163" spans="1:7">
      <c r="A2163" s="21" t="s">
        <v>2256</v>
      </c>
      <c r="B2163" s="26" t="s">
        <v>163</v>
      </c>
      <c r="C2163" s="22" t="s">
        <v>45</v>
      </c>
      <c r="D2163" s="23">
        <v>1</v>
      </c>
      <c r="E2163" s="24">
        <f>SUM($D$2:D2163)/SUM($D$2:$D$2846)</f>
        <v>0.94197111299915037</v>
      </c>
      <c r="F2163" s="22" t="s">
        <v>53</v>
      </c>
      <c r="G2163" s="25" t="s">
        <v>164</v>
      </c>
    </row>
    <row r="2164" spans="1:7">
      <c r="A2164" s="21" t="s">
        <v>2257</v>
      </c>
      <c r="B2164" s="26" t="s">
        <v>163</v>
      </c>
      <c r="C2164" s="22" t="s">
        <v>45</v>
      </c>
      <c r="D2164" s="23">
        <v>1</v>
      </c>
      <c r="E2164" s="24">
        <f>SUM($D$2:D2164)/SUM($D$2:$D$2846)</f>
        <v>0.94205607476635511</v>
      </c>
      <c r="F2164" s="22" t="s">
        <v>53</v>
      </c>
      <c r="G2164" s="25" t="s">
        <v>164</v>
      </c>
    </row>
    <row r="2165" spans="1:7">
      <c r="A2165" s="21" t="s">
        <v>2258</v>
      </c>
      <c r="B2165" s="26" t="s">
        <v>163</v>
      </c>
      <c r="C2165" s="22" t="s">
        <v>45</v>
      </c>
      <c r="D2165" s="23">
        <v>1</v>
      </c>
      <c r="E2165" s="24">
        <f>SUM($D$2:D2165)/SUM($D$2:$D$2846)</f>
        <v>0.94214103653355985</v>
      </c>
      <c r="F2165" s="22" t="s">
        <v>53</v>
      </c>
      <c r="G2165" s="25" t="s">
        <v>164</v>
      </c>
    </row>
    <row r="2166" spans="1:7">
      <c r="A2166" s="21" t="s">
        <v>2259</v>
      </c>
      <c r="B2166" s="26" t="s">
        <v>163</v>
      </c>
      <c r="C2166" s="22" t="s">
        <v>45</v>
      </c>
      <c r="D2166" s="23">
        <v>1</v>
      </c>
      <c r="E2166" s="24">
        <f>SUM($D$2:D2166)/SUM($D$2:$D$2846)</f>
        <v>0.9422259983007647</v>
      </c>
      <c r="F2166" s="22" t="s">
        <v>53</v>
      </c>
      <c r="G2166" s="25" t="s">
        <v>164</v>
      </c>
    </row>
    <row r="2167" spans="1:7">
      <c r="A2167" s="21" t="s">
        <v>2260</v>
      </c>
      <c r="B2167" s="22" t="s">
        <v>56</v>
      </c>
      <c r="C2167" s="22" t="s">
        <v>124</v>
      </c>
      <c r="D2167" s="23">
        <v>1</v>
      </c>
      <c r="E2167" s="24">
        <f>SUM($D$2:D2167)/SUM($D$2:$D$2846)</f>
        <v>0.94231096006796944</v>
      </c>
      <c r="F2167" s="22" t="s">
        <v>53</v>
      </c>
      <c r="G2167" s="25" t="s">
        <v>125</v>
      </c>
    </row>
    <row r="2168" spans="1:7">
      <c r="A2168" s="21" t="s">
        <v>2261</v>
      </c>
      <c r="B2168" s="22" t="s">
        <v>56</v>
      </c>
      <c r="C2168" s="22" t="s">
        <v>124</v>
      </c>
      <c r="D2168" s="23">
        <v>1</v>
      </c>
      <c r="E2168" s="24">
        <f>SUM($D$2:D2168)/SUM($D$2:$D$2846)</f>
        <v>0.94239592183517418</v>
      </c>
      <c r="F2168" s="22" t="s">
        <v>53</v>
      </c>
      <c r="G2168" s="25" t="s">
        <v>125</v>
      </c>
    </row>
    <row r="2169" spans="1:7">
      <c r="A2169" s="21" t="s">
        <v>2262</v>
      </c>
      <c r="B2169" s="22" t="s">
        <v>56</v>
      </c>
      <c r="C2169" s="22" t="s">
        <v>124</v>
      </c>
      <c r="D2169" s="23">
        <v>1</v>
      </c>
      <c r="E2169" s="24">
        <f>SUM($D$2:D2169)/SUM($D$2:$D$2846)</f>
        <v>0.94248088360237892</v>
      </c>
      <c r="F2169" s="22" t="s">
        <v>53</v>
      </c>
      <c r="G2169" s="25" t="s">
        <v>125</v>
      </c>
    </row>
    <row r="2170" spans="1:7">
      <c r="A2170" s="21" t="s">
        <v>2263</v>
      </c>
      <c r="B2170" s="22" t="s">
        <v>56</v>
      </c>
      <c r="C2170" s="22" t="s">
        <v>124</v>
      </c>
      <c r="D2170" s="23">
        <v>1</v>
      </c>
      <c r="E2170" s="24">
        <f>SUM($D$2:D2170)/SUM($D$2:$D$2846)</f>
        <v>0.94256584536958365</v>
      </c>
      <c r="F2170" s="22" t="s">
        <v>53</v>
      </c>
      <c r="G2170" s="25" t="s">
        <v>125</v>
      </c>
    </row>
    <row r="2171" spans="1:7">
      <c r="A2171" s="21" t="s">
        <v>2264</v>
      </c>
      <c r="B2171" s="26" t="s">
        <v>163</v>
      </c>
      <c r="C2171" s="22" t="s">
        <v>45</v>
      </c>
      <c r="D2171" s="23">
        <v>1</v>
      </c>
      <c r="E2171" s="24">
        <f>SUM($D$2:D2171)/SUM($D$2:$D$2846)</f>
        <v>0.94265080713678839</v>
      </c>
      <c r="F2171" s="22" t="s">
        <v>53</v>
      </c>
      <c r="G2171" s="25" t="s">
        <v>164</v>
      </c>
    </row>
    <row r="2172" spans="1:7">
      <c r="A2172" s="21" t="s">
        <v>2265</v>
      </c>
      <c r="B2172" s="26" t="s">
        <v>163</v>
      </c>
      <c r="C2172" s="22" t="s">
        <v>45</v>
      </c>
      <c r="D2172" s="23">
        <v>1</v>
      </c>
      <c r="E2172" s="24">
        <f>SUM($D$2:D2172)/SUM($D$2:$D$2846)</f>
        <v>0.94273576890399324</v>
      </c>
      <c r="F2172" s="22" t="s">
        <v>53</v>
      </c>
      <c r="G2172" s="25" t="s">
        <v>164</v>
      </c>
    </row>
    <row r="2173" spans="1:7">
      <c r="A2173" s="21" t="s">
        <v>2266</v>
      </c>
      <c r="B2173" s="26" t="s">
        <v>163</v>
      </c>
      <c r="C2173" s="22" t="s">
        <v>45</v>
      </c>
      <c r="D2173" s="23">
        <v>1</v>
      </c>
      <c r="E2173" s="24">
        <f>SUM($D$2:D2173)/SUM($D$2:$D$2846)</f>
        <v>0.94282073067119798</v>
      </c>
      <c r="F2173" s="22" t="s">
        <v>53</v>
      </c>
      <c r="G2173" s="25" t="s">
        <v>164</v>
      </c>
    </row>
    <row r="2174" spans="1:7">
      <c r="A2174" s="21" t="s">
        <v>2267</v>
      </c>
      <c r="B2174" s="26" t="s">
        <v>163</v>
      </c>
      <c r="C2174" s="22" t="s">
        <v>45</v>
      </c>
      <c r="D2174" s="23">
        <v>1</v>
      </c>
      <c r="E2174" s="24">
        <f>SUM($D$2:D2174)/SUM($D$2:$D$2846)</f>
        <v>0.94290569243840272</v>
      </c>
      <c r="F2174" s="22" t="s">
        <v>53</v>
      </c>
      <c r="G2174" s="25" t="s">
        <v>164</v>
      </c>
    </row>
    <row r="2175" spans="1:7">
      <c r="A2175" s="21" t="s">
        <v>2268</v>
      </c>
      <c r="B2175" s="26" t="s">
        <v>163</v>
      </c>
      <c r="C2175" s="22" t="s">
        <v>45</v>
      </c>
      <c r="D2175" s="23">
        <v>1</v>
      </c>
      <c r="E2175" s="24">
        <f>SUM($D$2:D2175)/SUM($D$2:$D$2846)</f>
        <v>0.94299065420560746</v>
      </c>
      <c r="F2175" s="22" t="s">
        <v>53</v>
      </c>
      <c r="G2175" s="25" t="s">
        <v>164</v>
      </c>
    </row>
    <row r="2176" spans="1:7">
      <c r="A2176" s="21" t="s">
        <v>2269</v>
      </c>
      <c r="B2176" s="26" t="s">
        <v>163</v>
      </c>
      <c r="C2176" s="22" t="s">
        <v>45</v>
      </c>
      <c r="D2176" s="23">
        <v>1</v>
      </c>
      <c r="E2176" s="24">
        <f>SUM($D$2:D2176)/SUM($D$2:$D$2846)</f>
        <v>0.9430756159728122</v>
      </c>
      <c r="F2176" s="22" t="s">
        <v>53</v>
      </c>
      <c r="G2176" s="25" t="s">
        <v>164</v>
      </c>
    </row>
    <row r="2177" spans="1:7">
      <c r="A2177" s="21" t="s">
        <v>2270</v>
      </c>
      <c r="B2177" s="26" t="s">
        <v>163</v>
      </c>
      <c r="C2177" s="22" t="s">
        <v>45</v>
      </c>
      <c r="D2177" s="23">
        <v>1</v>
      </c>
      <c r="E2177" s="24">
        <f>SUM($D$2:D2177)/SUM($D$2:$D$2846)</f>
        <v>0.94316057774001705</v>
      </c>
      <c r="F2177" s="22" t="s">
        <v>53</v>
      </c>
      <c r="G2177" s="25" t="s">
        <v>164</v>
      </c>
    </row>
    <row r="2178" spans="1:7">
      <c r="A2178" s="21" t="s">
        <v>2271</v>
      </c>
      <c r="B2178" s="26" t="s">
        <v>163</v>
      </c>
      <c r="C2178" s="22" t="s">
        <v>45</v>
      </c>
      <c r="D2178" s="23">
        <v>1</v>
      </c>
      <c r="E2178" s="24">
        <f>SUM($D$2:D2178)/SUM($D$2:$D$2846)</f>
        <v>0.94324553950722179</v>
      </c>
      <c r="F2178" s="22" t="s">
        <v>53</v>
      </c>
      <c r="G2178" s="25" t="s">
        <v>164</v>
      </c>
    </row>
    <row r="2179" spans="1:7">
      <c r="A2179" s="21" t="s">
        <v>2272</v>
      </c>
      <c r="B2179" s="26" t="s">
        <v>163</v>
      </c>
      <c r="C2179" s="22" t="s">
        <v>45</v>
      </c>
      <c r="D2179" s="23">
        <v>1</v>
      </c>
      <c r="E2179" s="24">
        <f>SUM($D$2:D2179)/SUM($D$2:$D$2846)</f>
        <v>0.94333050127442652</v>
      </c>
      <c r="F2179" s="22" t="s">
        <v>53</v>
      </c>
      <c r="G2179" s="25" t="s">
        <v>164</v>
      </c>
    </row>
    <row r="2180" spans="1:7">
      <c r="A2180" s="21" t="s">
        <v>2273</v>
      </c>
      <c r="B2180" s="22" t="s">
        <v>56</v>
      </c>
      <c r="C2180" s="22" t="s">
        <v>124</v>
      </c>
      <c r="D2180" s="23">
        <v>1</v>
      </c>
      <c r="E2180" s="24">
        <f>SUM($D$2:D2180)/SUM($D$2:$D$2846)</f>
        <v>0.94341546304163126</v>
      </c>
      <c r="F2180" s="22" t="s">
        <v>53</v>
      </c>
      <c r="G2180" s="25" t="s">
        <v>125</v>
      </c>
    </row>
    <row r="2181" spans="1:7">
      <c r="A2181" s="21" t="s">
        <v>2274</v>
      </c>
      <c r="B2181" s="26" t="s">
        <v>163</v>
      </c>
      <c r="C2181" s="22" t="s">
        <v>45</v>
      </c>
      <c r="D2181" s="23">
        <v>1</v>
      </c>
      <c r="E2181" s="24">
        <f>SUM($D$2:D2181)/SUM($D$2:$D$2846)</f>
        <v>0.943500424808836</v>
      </c>
      <c r="F2181" s="22" t="s">
        <v>53</v>
      </c>
      <c r="G2181" s="25" t="s">
        <v>164</v>
      </c>
    </row>
    <row r="2182" spans="1:7">
      <c r="A2182" s="21" t="s">
        <v>2275</v>
      </c>
      <c r="B2182" s="22" t="s">
        <v>56</v>
      </c>
      <c r="C2182" s="22" t="s">
        <v>124</v>
      </c>
      <c r="D2182" s="23">
        <v>1</v>
      </c>
      <c r="E2182" s="24">
        <f>SUM($D$2:D2182)/SUM($D$2:$D$2846)</f>
        <v>0.94358538657604074</v>
      </c>
      <c r="F2182" s="22" t="s">
        <v>53</v>
      </c>
      <c r="G2182" s="25" t="s">
        <v>125</v>
      </c>
    </row>
    <row r="2183" spans="1:7">
      <c r="A2183" s="21" t="s">
        <v>2276</v>
      </c>
      <c r="B2183" s="22" t="s">
        <v>56</v>
      </c>
      <c r="C2183" s="22" t="s">
        <v>124</v>
      </c>
      <c r="D2183" s="23">
        <v>1</v>
      </c>
      <c r="E2183" s="24">
        <f>SUM($D$2:D2183)/SUM($D$2:$D$2846)</f>
        <v>0.94367034834324559</v>
      </c>
      <c r="F2183" s="22" t="s">
        <v>53</v>
      </c>
      <c r="G2183" s="25" t="s">
        <v>125</v>
      </c>
    </row>
    <row r="2184" spans="1:7">
      <c r="A2184" s="21" t="s">
        <v>2277</v>
      </c>
      <c r="B2184" s="22" t="s">
        <v>56</v>
      </c>
      <c r="C2184" s="22" t="s">
        <v>124</v>
      </c>
      <c r="D2184" s="23">
        <v>1</v>
      </c>
      <c r="E2184" s="24">
        <f>SUM($D$2:D2184)/SUM($D$2:$D$2846)</f>
        <v>0.94375531011045033</v>
      </c>
      <c r="F2184" s="22" t="s">
        <v>53</v>
      </c>
      <c r="G2184" s="25" t="s">
        <v>125</v>
      </c>
    </row>
    <row r="2185" spans="1:7">
      <c r="A2185" s="21" t="s">
        <v>2278</v>
      </c>
      <c r="B2185" s="26" t="s">
        <v>163</v>
      </c>
      <c r="C2185" s="22" t="s">
        <v>45</v>
      </c>
      <c r="D2185" s="23">
        <v>1</v>
      </c>
      <c r="E2185" s="24">
        <f>SUM($D$2:D2185)/SUM($D$2:$D$2846)</f>
        <v>0.94384027187765507</v>
      </c>
      <c r="F2185" s="22" t="s">
        <v>53</v>
      </c>
      <c r="G2185" s="25" t="s">
        <v>164</v>
      </c>
    </row>
    <row r="2186" spans="1:7">
      <c r="A2186" s="21" t="s">
        <v>2279</v>
      </c>
      <c r="B2186" s="26" t="s">
        <v>163</v>
      </c>
      <c r="C2186" s="22" t="s">
        <v>45</v>
      </c>
      <c r="D2186" s="23">
        <v>1</v>
      </c>
      <c r="E2186" s="24">
        <f>SUM($D$2:D2186)/SUM($D$2:$D$2846)</f>
        <v>0.94392523364485981</v>
      </c>
      <c r="F2186" s="22" t="s">
        <v>53</v>
      </c>
      <c r="G2186" s="25" t="s">
        <v>164</v>
      </c>
    </row>
    <row r="2187" spans="1:7">
      <c r="A2187" s="21" t="s">
        <v>2280</v>
      </c>
      <c r="B2187" s="26" t="s">
        <v>163</v>
      </c>
      <c r="C2187" s="22" t="s">
        <v>45</v>
      </c>
      <c r="D2187" s="23">
        <v>1</v>
      </c>
      <c r="E2187" s="24">
        <f>SUM($D$2:D2187)/SUM($D$2:$D$2846)</f>
        <v>0.94401019541206455</v>
      </c>
      <c r="F2187" s="22" t="s">
        <v>53</v>
      </c>
      <c r="G2187" s="25" t="s">
        <v>164</v>
      </c>
    </row>
    <row r="2188" spans="1:7">
      <c r="A2188" s="21" t="s">
        <v>2281</v>
      </c>
      <c r="B2188" s="26" t="s">
        <v>163</v>
      </c>
      <c r="C2188" s="22" t="s">
        <v>45</v>
      </c>
      <c r="D2188" s="23">
        <v>1</v>
      </c>
      <c r="E2188" s="24">
        <f>SUM($D$2:D2188)/SUM($D$2:$D$2846)</f>
        <v>0.94409515717926928</v>
      </c>
      <c r="F2188" s="22" t="s">
        <v>53</v>
      </c>
      <c r="G2188" s="25" t="s">
        <v>164</v>
      </c>
    </row>
    <row r="2189" spans="1:7">
      <c r="A2189" s="21" t="s">
        <v>2282</v>
      </c>
      <c r="B2189" s="26" t="s">
        <v>163</v>
      </c>
      <c r="C2189" s="22" t="s">
        <v>45</v>
      </c>
      <c r="D2189" s="23">
        <v>1</v>
      </c>
      <c r="E2189" s="24">
        <f>SUM($D$2:D2189)/SUM($D$2:$D$2846)</f>
        <v>0.94418011894647413</v>
      </c>
      <c r="F2189" s="22" t="s">
        <v>53</v>
      </c>
      <c r="G2189" s="25" t="s">
        <v>164</v>
      </c>
    </row>
    <row r="2190" spans="1:7">
      <c r="A2190" s="21" t="s">
        <v>2283</v>
      </c>
      <c r="B2190" s="26" t="s">
        <v>163</v>
      </c>
      <c r="C2190" s="22" t="s">
        <v>45</v>
      </c>
      <c r="D2190" s="23">
        <v>1</v>
      </c>
      <c r="E2190" s="24">
        <f>SUM($D$2:D2190)/SUM($D$2:$D$2846)</f>
        <v>0.94426508071367887</v>
      </c>
      <c r="F2190" s="22" t="s">
        <v>53</v>
      </c>
      <c r="G2190" s="25" t="s">
        <v>164</v>
      </c>
    </row>
    <row r="2191" spans="1:7">
      <c r="A2191" s="21" t="s">
        <v>2284</v>
      </c>
      <c r="B2191" s="22" t="s">
        <v>56</v>
      </c>
      <c r="C2191" s="22" t="s">
        <v>124</v>
      </c>
      <c r="D2191" s="23">
        <v>1</v>
      </c>
      <c r="E2191" s="24">
        <f>SUM($D$2:D2191)/SUM($D$2:$D$2846)</f>
        <v>0.94435004248088361</v>
      </c>
      <c r="F2191" s="22" t="s">
        <v>53</v>
      </c>
      <c r="G2191" s="25" t="s">
        <v>125</v>
      </c>
    </row>
    <row r="2192" spans="1:7">
      <c r="A2192" s="21" t="s">
        <v>2285</v>
      </c>
      <c r="B2192" s="26" t="s">
        <v>163</v>
      </c>
      <c r="C2192" s="22" t="s">
        <v>45</v>
      </c>
      <c r="D2192" s="23">
        <v>1</v>
      </c>
      <c r="E2192" s="24">
        <f>SUM($D$2:D2192)/SUM($D$2:$D$2846)</f>
        <v>0.94443500424808835</v>
      </c>
      <c r="F2192" s="22" t="s">
        <v>53</v>
      </c>
      <c r="G2192" s="25" t="s">
        <v>164</v>
      </c>
    </row>
    <row r="2193" spans="1:7">
      <c r="A2193" s="21" t="s">
        <v>2286</v>
      </c>
      <c r="B2193" s="26" t="s">
        <v>163</v>
      </c>
      <c r="C2193" s="22" t="s">
        <v>45</v>
      </c>
      <c r="D2193" s="23">
        <v>1</v>
      </c>
      <c r="E2193" s="24">
        <f>SUM($D$2:D2193)/SUM($D$2:$D$2846)</f>
        <v>0.94451996601529309</v>
      </c>
      <c r="F2193" s="22" t="s">
        <v>53</v>
      </c>
      <c r="G2193" s="25" t="s">
        <v>164</v>
      </c>
    </row>
    <row r="2194" spans="1:7">
      <c r="A2194" s="21" t="s">
        <v>2287</v>
      </c>
      <c r="B2194" s="26" t="s">
        <v>163</v>
      </c>
      <c r="C2194" s="22" t="s">
        <v>45</v>
      </c>
      <c r="D2194" s="23">
        <v>1</v>
      </c>
      <c r="E2194" s="24">
        <f>SUM($D$2:D2194)/SUM($D$2:$D$2846)</f>
        <v>0.94460492778249783</v>
      </c>
      <c r="F2194" s="22" t="s">
        <v>53</v>
      </c>
      <c r="G2194" s="25" t="s">
        <v>164</v>
      </c>
    </row>
    <row r="2195" spans="1:7">
      <c r="A2195" s="21" t="s">
        <v>2288</v>
      </c>
      <c r="B2195" s="22" t="s">
        <v>56</v>
      </c>
      <c r="C2195" s="22" t="s">
        <v>124</v>
      </c>
      <c r="D2195" s="23">
        <v>1</v>
      </c>
      <c r="E2195" s="24">
        <f>SUM($D$2:D2195)/SUM($D$2:$D$2846)</f>
        <v>0.94468988954970268</v>
      </c>
      <c r="F2195" s="22" t="s">
        <v>53</v>
      </c>
      <c r="G2195" s="25" t="s">
        <v>125</v>
      </c>
    </row>
    <row r="2196" spans="1:7">
      <c r="A2196" s="21" t="s">
        <v>2289</v>
      </c>
      <c r="B2196" s="22" t="s">
        <v>56</v>
      </c>
      <c r="C2196" s="22" t="s">
        <v>124</v>
      </c>
      <c r="D2196" s="23">
        <v>1</v>
      </c>
      <c r="E2196" s="24">
        <f>SUM($D$2:D2196)/SUM($D$2:$D$2846)</f>
        <v>0.94477485131690742</v>
      </c>
      <c r="F2196" s="22" t="s">
        <v>53</v>
      </c>
      <c r="G2196" s="25" t="s">
        <v>125</v>
      </c>
    </row>
    <row r="2197" spans="1:7">
      <c r="A2197" s="21" t="s">
        <v>2290</v>
      </c>
      <c r="B2197" s="26" t="s">
        <v>163</v>
      </c>
      <c r="C2197" s="22" t="s">
        <v>45</v>
      </c>
      <c r="D2197" s="23">
        <v>1</v>
      </c>
      <c r="E2197" s="24">
        <f>SUM($D$2:D2197)/SUM($D$2:$D$2846)</f>
        <v>0.94485981308411215</v>
      </c>
      <c r="F2197" s="22" t="s">
        <v>53</v>
      </c>
      <c r="G2197" s="25" t="s">
        <v>164</v>
      </c>
    </row>
    <row r="2198" spans="1:7">
      <c r="A2198" s="21" t="s">
        <v>2291</v>
      </c>
      <c r="B2198" s="22" t="s">
        <v>56</v>
      </c>
      <c r="C2198" s="22" t="s">
        <v>124</v>
      </c>
      <c r="D2198" s="23">
        <v>1</v>
      </c>
      <c r="E2198" s="24">
        <f>SUM($D$2:D2198)/SUM($D$2:$D$2846)</f>
        <v>0.94494477485131689</v>
      </c>
      <c r="F2198" s="22" t="s">
        <v>53</v>
      </c>
      <c r="G2198" s="25" t="s">
        <v>125</v>
      </c>
    </row>
    <row r="2199" spans="1:7">
      <c r="A2199" s="21" t="s">
        <v>2292</v>
      </c>
      <c r="B2199" s="22" t="s">
        <v>56</v>
      </c>
      <c r="C2199" s="22" t="s">
        <v>124</v>
      </c>
      <c r="D2199" s="23">
        <v>1</v>
      </c>
      <c r="E2199" s="24">
        <f>SUM($D$2:D2199)/SUM($D$2:$D$2846)</f>
        <v>0.94502973661852163</v>
      </c>
      <c r="F2199" s="22" t="s">
        <v>53</v>
      </c>
      <c r="G2199" s="25" t="s">
        <v>125</v>
      </c>
    </row>
    <row r="2200" spans="1:7">
      <c r="A2200" s="21" t="s">
        <v>2293</v>
      </c>
      <c r="B2200" s="22" t="s">
        <v>56</v>
      </c>
      <c r="C2200" s="22" t="s">
        <v>124</v>
      </c>
      <c r="D2200" s="23">
        <v>1</v>
      </c>
      <c r="E2200" s="24">
        <f>SUM($D$2:D2200)/SUM($D$2:$D$2846)</f>
        <v>0.94511469838572637</v>
      </c>
      <c r="F2200" s="22" t="s">
        <v>53</v>
      </c>
      <c r="G2200" s="25" t="s">
        <v>125</v>
      </c>
    </row>
    <row r="2201" spans="1:7">
      <c r="A2201" s="21" t="s">
        <v>2294</v>
      </c>
      <c r="B2201" s="26" t="s">
        <v>163</v>
      </c>
      <c r="C2201" s="22" t="s">
        <v>45</v>
      </c>
      <c r="D2201" s="23">
        <v>1</v>
      </c>
      <c r="E2201" s="24">
        <f>SUM($D$2:D2201)/SUM($D$2:$D$2846)</f>
        <v>0.94519966015293122</v>
      </c>
      <c r="F2201" s="22" t="s">
        <v>53</v>
      </c>
      <c r="G2201" s="25" t="s">
        <v>164</v>
      </c>
    </row>
    <row r="2202" spans="1:7">
      <c r="A2202" s="21" t="s">
        <v>2295</v>
      </c>
      <c r="B2202" s="26" t="s">
        <v>163</v>
      </c>
      <c r="C2202" s="22" t="s">
        <v>45</v>
      </c>
      <c r="D2202" s="23">
        <v>1</v>
      </c>
      <c r="E2202" s="24">
        <f>SUM($D$2:D2202)/SUM($D$2:$D$2846)</f>
        <v>0.94528462192013596</v>
      </c>
      <c r="F2202" s="22" t="s">
        <v>53</v>
      </c>
      <c r="G2202" s="25" t="s">
        <v>164</v>
      </c>
    </row>
    <row r="2203" spans="1:7">
      <c r="A2203" s="21" t="s">
        <v>2296</v>
      </c>
      <c r="B2203" s="26" t="s">
        <v>163</v>
      </c>
      <c r="C2203" s="22" t="s">
        <v>45</v>
      </c>
      <c r="D2203" s="23">
        <v>1</v>
      </c>
      <c r="E2203" s="24">
        <f>SUM($D$2:D2203)/SUM($D$2:$D$2846)</f>
        <v>0.9453695836873407</v>
      </c>
      <c r="F2203" s="22" t="s">
        <v>53</v>
      </c>
      <c r="G2203" s="25" t="s">
        <v>164</v>
      </c>
    </row>
    <row r="2204" spans="1:7">
      <c r="A2204" s="21" t="s">
        <v>2297</v>
      </c>
      <c r="B2204" s="26" t="s">
        <v>163</v>
      </c>
      <c r="C2204" s="22" t="s">
        <v>45</v>
      </c>
      <c r="D2204" s="23">
        <v>1</v>
      </c>
      <c r="E2204" s="24">
        <f>SUM($D$2:D2204)/SUM($D$2:$D$2846)</f>
        <v>0.94545454545454544</v>
      </c>
      <c r="F2204" s="22" t="s">
        <v>53</v>
      </c>
      <c r="G2204" s="25" t="s">
        <v>164</v>
      </c>
    </row>
    <row r="2205" spans="1:7">
      <c r="A2205" s="21" t="s">
        <v>2298</v>
      </c>
      <c r="B2205" s="22" t="s">
        <v>56</v>
      </c>
      <c r="C2205" s="22" t="s">
        <v>124</v>
      </c>
      <c r="D2205" s="23">
        <v>1</v>
      </c>
      <c r="E2205" s="24">
        <f>SUM($D$2:D2205)/SUM($D$2:$D$2846)</f>
        <v>0.94553950722175018</v>
      </c>
      <c r="F2205" s="22" t="s">
        <v>53</v>
      </c>
      <c r="G2205" s="25" t="s">
        <v>125</v>
      </c>
    </row>
    <row r="2206" spans="1:7">
      <c r="A2206" s="21" t="s">
        <v>2299</v>
      </c>
      <c r="B2206" s="26" t="s">
        <v>163</v>
      </c>
      <c r="C2206" s="22" t="s">
        <v>45</v>
      </c>
      <c r="D2206" s="23">
        <v>1</v>
      </c>
      <c r="E2206" s="24">
        <f>SUM($D$2:D2206)/SUM($D$2:$D$2846)</f>
        <v>0.94562446898895502</v>
      </c>
      <c r="F2206" s="22" t="s">
        <v>53</v>
      </c>
      <c r="G2206" s="25" t="s">
        <v>164</v>
      </c>
    </row>
    <row r="2207" spans="1:7">
      <c r="A2207" s="21" t="s">
        <v>2300</v>
      </c>
      <c r="B2207" s="26" t="s">
        <v>163</v>
      </c>
      <c r="C2207" s="22" t="s">
        <v>45</v>
      </c>
      <c r="D2207" s="23">
        <v>1</v>
      </c>
      <c r="E2207" s="24">
        <f>SUM($D$2:D2207)/SUM($D$2:$D$2846)</f>
        <v>0.94570943075615976</v>
      </c>
      <c r="F2207" s="22" t="s">
        <v>53</v>
      </c>
      <c r="G2207" s="25" t="s">
        <v>164</v>
      </c>
    </row>
    <row r="2208" spans="1:7">
      <c r="A2208" s="21" t="s">
        <v>2301</v>
      </c>
      <c r="B2208" s="22" t="s">
        <v>56</v>
      </c>
      <c r="C2208" s="22" t="s">
        <v>124</v>
      </c>
      <c r="D2208" s="23">
        <v>1</v>
      </c>
      <c r="E2208" s="24">
        <f>SUM($D$2:D2208)/SUM($D$2:$D$2846)</f>
        <v>0.9457943925233645</v>
      </c>
      <c r="F2208" s="22" t="s">
        <v>53</v>
      </c>
      <c r="G2208" s="25" t="s">
        <v>125</v>
      </c>
    </row>
    <row r="2209" spans="1:7">
      <c r="A2209" s="21" t="s">
        <v>2302</v>
      </c>
      <c r="B2209" s="22" t="s">
        <v>56</v>
      </c>
      <c r="C2209" s="22" t="s">
        <v>124</v>
      </c>
      <c r="D2209" s="23">
        <v>1</v>
      </c>
      <c r="E2209" s="24">
        <f>SUM($D$2:D2209)/SUM($D$2:$D$2846)</f>
        <v>0.94587935429056924</v>
      </c>
      <c r="F2209" s="22" t="s">
        <v>53</v>
      </c>
      <c r="G2209" s="25" t="s">
        <v>125</v>
      </c>
    </row>
    <row r="2210" spans="1:7">
      <c r="A2210" s="21" t="s">
        <v>2303</v>
      </c>
      <c r="B2210" s="22" t="s">
        <v>56</v>
      </c>
      <c r="C2210" s="22" t="s">
        <v>124</v>
      </c>
      <c r="D2210" s="23">
        <v>1</v>
      </c>
      <c r="E2210" s="24">
        <f>SUM($D$2:D2210)/SUM($D$2:$D$2846)</f>
        <v>0.94596431605777398</v>
      </c>
      <c r="F2210" s="22" t="s">
        <v>53</v>
      </c>
      <c r="G2210" s="25" t="s">
        <v>125</v>
      </c>
    </row>
    <row r="2211" spans="1:7">
      <c r="A2211" s="21" t="s">
        <v>2304</v>
      </c>
      <c r="B2211" s="22" t="s">
        <v>56</v>
      </c>
      <c r="C2211" s="22" t="s">
        <v>124</v>
      </c>
      <c r="D2211" s="23">
        <v>1</v>
      </c>
      <c r="E2211" s="24">
        <f>SUM($D$2:D2211)/SUM($D$2:$D$2846)</f>
        <v>0.94604927782497872</v>
      </c>
      <c r="F2211" s="22" t="s">
        <v>53</v>
      </c>
      <c r="G2211" s="25" t="s">
        <v>125</v>
      </c>
    </row>
    <row r="2212" spans="1:7">
      <c r="A2212" s="21" t="s">
        <v>2305</v>
      </c>
      <c r="B2212" s="22" t="s">
        <v>56</v>
      </c>
      <c r="C2212" s="22" t="s">
        <v>124</v>
      </c>
      <c r="D2212" s="23">
        <v>1</v>
      </c>
      <c r="E2212" s="24">
        <f>SUM($D$2:D2212)/SUM($D$2:$D$2846)</f>
        <v>0.94613423959218357</v>
      </c>
      <c r="F2212" s="22" t="s">
        <v>53</v>
      </c>
      <c r="G2212" s="25" t="s">
        <v>125</v>
      </c>
    </row>
    <row r="2213" spans="1:7">
      <c r="A2213" s="21" t="s">
        <v>2306</v>
      </c>
      <c r="B2213" s="26" t="s">
        <v>163</v>
      </c>
      <c r="C2213" s="22" t="s">
        <v>45</v>
      </c>
      <c r="D2213" s="23">
        <v>1</v>
      </c>
      <c r="E2213" s="24">
        <f>SUM($D$2:D2213)/SUM($D$2:$D$2846)</f>
        <v>0.94621920135938831</v>
      </c>
      <c r="F2213" s="22" t="s">
        <v>53</v>
      </c>
      <c r="G2213" s="25" t="s">
        <v>164</v>
      </c>
    </row>
    <row r="2214" spans="1:7">
      <c r="A2214" s="21" t="s">
        <v>2307</v>
      </c>
      <c r="B2214" s="26" t="s">
        <v>163</v>
      </c>
      <c r="C2214" s="22" t="s">
        <v>45</v>
      </c>
      <c r="D2214" s="23">
        <v>1</v>
      </c>
      <c r="E2214" s="24">
        <f>SUM($D$2:D2214)/SUM($D$2:$D$2846)</f>
        <v>0.94630416312659305</v>
      </c>
      <c r="F2214" s="22" t="s">
        <v>53</v>
      </c>
      <c r="G2214" s="25" t="s">
        <v>164</v>
      </c>
    </row>
    <row r="2215" spans="1:7">
      <c r="A2215" s="21" t="s">
        <v>2308</v>
      </c>
      <c r="B2215" s="26" t="s">
        <v>163</v>
      </c>
      <c r="C2215" s="22" t="s">
        <v>45</v>
      </c>
      <c r="D2215" s="23">
        <v>1</v>
      </c>
      <c r="E2215" s="24">
        <f>SUM($D$2:D2215)/SUM($D$2:$D$2846)</f>
        <v>0.94638912489379778</v>
      </c>
      <c r="F2215" s="22" t="s">
        <v>53</v>
      </c>
      <c r="G2215" s="25" t="s">
        <v>164</v>
      </c>
    </row>
    <row r="2216" spans="1:7">
      <c r="A2216" s="21" t="s">
        <v>2309</v>
      </c>
      <c r="B2216" s="26" t="s">
        <v>163</v>
      </c>
      <c r="C2216" s="22" t="s">
        <v>45</v>
      </c>
      <c r="D2216" s="23">
        <v>1</v>
      </c>
      <c r="E2216" s="24">
        <f>SUM($D$2:D2216)/SUM($D$2:$D$2846)</f>
        <v>0.94647408666100252</v>
      </c>
      <c r="F2216" s="22" t="s">
        <v>53</v>
      </c>
      <c r="G2216" s="25" t="s">
        <v>164</v>
      </c>
    </row>
    <row r="2217" spans="1:7">
      <c r="A2217" s="21" t="s">
        <v>2310</v>
      </c>
      <c r="B2217" s="22" t="s">
        <v>56</v>
      </c>
      <c r="C2217" s="22" t="s">
        <v>124</v>
      </c>
      <c r="D2217" s="23">
        <v>1</v>
      </c>
      <c r="E2217" s="24">
        <f>SUM($D$2:D2217)/SUM($D$2:$D$2846)</f>
        <v>0.94655904842820726</v>
      </c>
      <c r="F2217" s="22" t="s">
        <v>53</v>
      </c>
      <c r="G2217" s="25" t="s">
        <v>125</v>
      </c>
    </row>
    <row r="2218" spans="1:7">
      <c r="A2218" s="21" t="s">
        <v>2311</v>
      </c>
      <c r="B2218" s="22" t="s">
        <v>56</v>
      </c>
      <c r="C2218" s="22" t="s">
        <v>124</v>
      </c>
      <c r="D2218" s="23">
        <v>1</v>
      </c>
      <c r="E2218" s="24">
        <f>SUM($D$2:D2218)/SUM($D$2:$D$2846)</f>
        <v>0.94664401019541211</v>
      </c>
      <c r="F2218" s="22" t="s">
        <v>53</v>
      </c>
      <c r="G2218" s="25" t="s">
        <v>125</v>
      </c>
    </row>
    <row r="2219" spans="1:7">
      <c r="A2219" s="21" t="s">
        <v>2312</v>
      </c>
      <c r="B2219" s="26" t="s">
        <v>163</v>
      </c>
      <c r="C2219" s="22" t="s">
        <v>45</v>
      </c>
      <c r="D2219" s="23">
        <v>1</v>
      </c>
      <c r="E2219" s="24">
        <f>SUM($D$2:D2219)/SUM($D$2:$D$2846)</f>
        <v>0.94672897196261685</v>
      </c>
      <c r="F2219" s="22" t="s">
        <v>53</v>
      </c>
      <c r="G2219" s="25" t="s">
        <v>164</v>
      </c>
    </row>
    <row r="2220" spans="1:7">
      <c r="A2220" s="21" t="s">
        <v>2313</v>
      </c>
      <c r="B2220" s="22" t="s">
        <v>56</v>
      </c>
      <c r="C2220" s="22" t="s">
        <v>124</v>
      </c>
      <c r="D2220" s="23">
        <v>1</v>
      </c>
      <c r="E2220" s="24">
        <f>SUM($D$2:D2220)/SUM($D$2:$D$2846)</f>
        <v>0.94681393372982159</v>
      </c>
      <c r="F2220" s="22" t="s">
        <v>53</v>
      </c>
      <c r="G2220" s="25" t="s">
        <v>125</v>
      </c>
    </row>
    <row r="2221" spans="1:7">
      <c r="A2221" s="21" t="s">
        <v>2314</v>
      </c>
      <c r="B2221" s="22" t="s">
        <v>56</v>
      </c>
      <c r="C2221" s="22" t="s">
        <v>124</v>
      </c>
      <c r="D2221" s="23">
        <v>1</v>
      </c>
      <c r="E2221" s="24">
        <f>SUM($D$2:D2221)/SUM($D$2:$D$2846)</f>
        <v>0.94689889549702633</v>
      </c>
      <c r="F2221" s="22" t="s">
        <v>53</v>
      </c>
      <c r="G2221" s="25" t="s">
        <v>125</v>
      </c>
    </row>
    <row r="2222" spans="1:7">
      <c r="A2222" s="21" t="s">
        <v>2315</v>
      </c>
      <c r="B2222" s="22" t="s">
        <v>56</v>
      </c>
      <c r="C2222" s="22" t="s">
        <v>124</v>
      </c>
      <c r="D2222" s="23">
        <v>1</v>
      </c>
      <c r="E2222" s="24">
        <f>SUM($D$2:D2222)/SUM($D$2:$D$2846)</f>
        <v>0.94698385726423107</v>
      </c>
      <c r="F2222" s="22" t="s">
        <v>53</v>
      </c>
      <c r="G2222" s="25" t="s">
        <v>125</v>
      </c>
    </row>
    <row r="2223" spans="1:7">
      <c r="A2223" s="21" t="s">
        <v>2316</v>
      </c>
      <c r="B2223" s="22" t="s">
        <v>56</v>
      </c>
      <c r="C2223" s="22" t="s">
        <v>124</v>
      </c>
      <c r="D2223" s="23">
        <v>1</v>
      </c>
      <c r="E2223" s="24">
        <f>SUM($D$2:D2223)/SUM($D$2:$D$2846)</f>
        <v>0.9470688190314358</v>
      </c>
      <c r="F2223" s="22" t="s">
        <v>53</v>
      </c>
      <c r="G2223" s="25" t="s">
        <v>125</v>
      </c>
    </row>
    <row r="2224" spans="1:7">
      <c r="A2224" s="21" t="s">
        <v>2317</v>
      </c>
      <c r="B2224" s="26" t="s">
        <v>163</v>
      </c>
      <c r="C2224" s="22" t="s">
        <v>45</v>
      </c>
      <c r="D2224" s="23">
        <v>1</v>
      </c>
      <c r="E2224" s="24">
        <f>SUM($D$2:D2224)/SUM($D$2:$D$2846)</f>
        <v>0.94715378079864065</v>
      </c>
      <c r="F2224" s="22" t="s">
        <v>53</v>
      </c>
      <c r="G2224" s="25" t="s">
        <v>164</v>
      </c>
    </row>
    <row r="2225" spans="1:7">
      <c r="A2225" s="21" t="s">
        <v>2318</v>
      </c>
      <c r="B2225" s="22" t="s">
        <v>56</v>
      </c>
      <c r="C2225" s="22" t="s">
        <v>124</v>
      </c>
      <c r="D2225" s="23">
        <v>1</v>
      </c>
      <c r="E2225" s="24">
        <f>SUM($D$2:D2225)/SUM($D$2:$D$2846)</f>
        <v>0.94723874256584539</v>
      </c>
      <c r="F2225" s="22" t="s">
        <v>53</v>
      </c>
      <c r="G2225" s="25" t="s">
        <v>125</v>
      </c>
    </row>
    <row r="2226" spans="1:7">
      <c r="A2226" s="21" t="s">
        <v>2319</v>
      </c>
      <c r="B2226" s="26" t="s">
        <v>163</v>
      </c>
      <c r="C2226" s="22" t="s">
        <v>45</v>
      </c>
      <c r="D2226" s="23">
        <v>1</v>
      </c>
      <c r="E2226" s="24">
        <f>SUM($D$2:D2226)/SUM($D$2:$D$2846)</f>
        <v>0.94732370433305013</v>
      </c>
      <c r="F2226" s="22" t="s">
        <v>53</v>
      </c>
      <c r="G2226" s="25" t="s">
        <v>164</v>
      </c>
    </row>
    <row r="2227" spans="1:7">
      <c r="A2227" s="21" t="s">
        <v>2320</v>
      </c>
      <c r="B2227" s="22" t="s">
        <v>56</v>
      </c>
      <c r="C2227" s="22" t="s">
        <v>124</v>
      </c>
      <c r="D2227" s="23">
        <v>1</v>
      </c>
      <c r="E2227" s="24">
        <f>SUM($D$2:D2227)/SUM($D$2:$D$2846)</f>
        <v>0.94740866610025487</v>
      </c>
      <c r="F2227" s="22" t="s">
        <v>53</v>
      </c>
      <c r="G2227" s="25" t="s">
        <v>125</v>
      </c>
    </row>
    <row r="2228" spans="1:7">
      <c r="A2228" s="21" t="s">
        <v>2321</v>
      </c>
      <c r="B2228" s="22" t="s">
        <v>56</v>
      </c>
      <c r="C2228" s="22" t="s">
        <v>124</v>
      </c>
      <c r="D2228" s="23">
        <v>1</v>
      </c>
      <c r="E2228" s="24">
        <f>SUM($D$2:D2228)/SUM($D$2:$D$2846)</f>
        <v>0.94749362786745961</v>
      </c>
      <c r="F2228" s="22" t="s">
        <v>53</v>
      </c>
      <c r="G2228" s="25" t="s">
        <v>125</v>
      </c>
    </row>
    <row r="2229" spans="1:7">
      <c r="A2229" s="21" t="s">
        <v>2322</v>
      </c>
      <c r="B2229" s="26" t="s">
        <v>163</v>
      </c>
      <c r="C2229" s="22" t="s">
        <v>45</v>
      </c>
      <c r="D2229" s="23">
        <v>1</v>
      </c>
      <c r="E2229" s="24">
        <f>SUM($D$2:D2229)/SUM($D$2:$D$2846)</f>
        <v>0.94757858963466435</v>
      </c>
      <c r="F2229" s="22" t="s">
        <v>53</v>
      </c>
      <c r="G2229" s="25" t="s">
        <v>164</v>
      </c>
    </row>
    <row r="2230" spans="1:7">
      <c r="A2230" s="21" t="s">
        <v>2323</v>
      </c>
      <c r="B2230" s="22" t="s">
        <v>44</v>
      </c>
      <c r="C2230" s="22" t="s">
        <v>124</v>
      </c>
      <c r="D2230" s="23">
        <v>1</v>
      </c>
      <c r="E2230" s="24">
        <f>SUM($D$2:D2230)/SUM($D$2:$D$2846)</f>
        <v>0.9476635514018692</v>
      </c>
      <c r="F2230" s="22" t="s">
        <v>53</v>
      </c>
      <c r="G2230" s="25" t="s">
        <v>194</v>
      </c>
    </row>
    <row r="2231" spans="1:7">
      <c r="A2231" s="21" t="s">
        <v>2324</v>
      </c>
      <c r="B2231" s="22" t="s">
        <v>56</v>
      </c>
      <c r="C2231" s="22" t="s">
        <v>124</v>
      </c>
      <c r="D2231" s="23">
        <v>1</v>
      </c>
      <c r="E2231" s="24">
        <f>SUM($D$2:D2231)/SUM($D$2:$D$2846)</f>
        <v>0.94774851316907394</v>
      </c>
      <c r="F2231" s="22" t="s">
        <v>53</v>
      </c>
      <c r="G2231" s="25" t="s">
        <v>125</v>
      </c>
    </row>
    <row r="2232" spans="1:7">
      <c r="A2232" s="21" t="s">
        <v>2325</v>
      </c>
      <c r="B2232" s="22" t="s">
        <v>56</v>
      </c>
      <c r="C2232" s="22" t="s">
        <v>124</v>
      </c>
      <c r="D2232" s="23">
        <v>1</v>
      </c>
      <c r="E2232" s="24">
        <f>SUM($D$2:D2232)/SUM($D$2:$D$2846)</f>
        <v>0.94783347493627867</v>
      </c>
      <c r="F2232" s="22" t="s">
        <v>53</v>
      </c>
      <c r="G2232" s="25" t="s">
        <v>125</v>
      </c>
    </row>
    <row r="2233" spans="1:7">
      <c r="A2233" s="21" t="s">
        <v>2326</v>
      </c>
      <c r="B2233" s="26" t="s">
        <v>163</v>
      </c>
      <c r="C2233" s="22" t="s">
        <v>45</v>
      </c>
      <c r="D2233" s="23">
        <v>1</v>
      </c>
      <c r="E2233" s="24">
        <f>SUM($D$2:D2233)/SUM($D$2:$D$2846)</f>
        <v>0.94791843670348341</v>
      </c>
      <c r="F2233" s="22" t="s">
        <v>53</v>
      </c>
      <c r="G2233" s="25" t="s">
        <v>164</v>
      </c>
    </row>
    <row r="2234" spans="1:7">
      <c r="A2234" s="21" t="s">
        <v>2327</v>
      </c>
      <c r="B2234" s="22" t="s">
        <v>56</v>
      </c>
      <c r="C2234" s="22" t="s">
        <v>124</v>
      </c>
      <c r="D2234" s="23">
        <v>1</v>
      </c>
      <c r="E2234" s="24">
        <f>SUM($D$2:D2234)/SUM($D$2:$D$2846)</f>
        <v>0.94800339847068815</v>
      </c>
      <c r="F2234" s="22" t="s">
        <v>53</v>
      </c>
      <c r="G2234" s="25" t="s">
        <v>125</v>
      </c>
    </row>
    <row r="2235" spans="1:7">
      <c r="A2235" s="21" t="s">
        <v>2328</v>
      </c>
      <c r="B2235" s="22" t="s">
        <v>56</v>
      </c>
      <c r="C2235" s="22" t="s">
        <v>124</v>
      </c>
      <c r="D2235" s="23">
        <v>1</v>
      </c>
      <c r="E2235" s="24">
        <f>SUM($D$2:D2235)/SUM($D$2:$D$2846)</f>
        <v>0.948088360237893</v>
      </c>
      <c r="F2235" s="22" t="s">
        <v>53</v>
      </c>
      <c r="G2235" s="25" t="s">
        <v>125</v>
      </c>
    </row>
    <row r="2236" spans="1:7">
      <c r="A2236" s="21" t="s">
        <v>2329</v>
      </c>
      <c r="B2236" s="26" t="s">
        <v>163</v>
      </c>
      <c r="C2236" s="22" t="s">
        <v>45</v>
      </c>
      <c r="D2236" s="23">
        <v>1</v>
      </c>
      <c r="E2236" s="24">
        <f>SUM($D$2:D2236)/SUM($D$2:$D$2846)</f>
        <v>0.94817332200509774</v>
      </c>
      <c r="F2236" s="22" t="s">
        <v>53</v>
      </c>
      <c r="G2236" s="25" t="s">
        <v>164</v>
      </c>
    </row>
    <row r="2237" spans="1:7">
      <c r="A2237" s="21" t="s">
        <v>2330</v>
      </c>
      <c r="B2237" s="22" t="s">
        <v>56</v>
      </c>
      <c r="C2237" s="22" t="s">
        <v>124</v>
      </c>
      <c r="D2237" s="23">
        <v>1</v>
      </c>
      <c r="E2237" s="24">
        <f>SUM($D$2:D2237)/SUM($D$2:$D$2846)</f>
        <v>0.94825828377230248</v>
      </c>
      <c r="F2237" s="22" t="s">
        <v>53</v>
      </c>
      <c r="G2237" s="25" t="s">
        <v>125</v>
      </c>
    </row>
    <row r="2238" spans="1:7">
      <c r="A2238" s="21" t="s">
        <v>2331</v>
      </c>
      <c r="B2238" s="22" t="s">
        <v>56</v>
      </c>
      <c r="C2238" s="22" t="s">
        <v>124</v>
      </c>
      <c r="D2238" s="23">
        <v>1</v>
      </c>
      <c r="E2238" s="24">
        <f>SUM($D$2:D2238)/SUM($D$2:$D$2846)</f>
        <v>0.94834324553950722</v>
      </c>
      <c r="F2238" s="22" t="s">
        <v>53</v>
      </c>
      <c r="G2238" s="25" t="s">
        <v>125</v>
      </c>
    </row>
    <row r="2239" spans="1:7">
      <c r="A2239" s="21" t="s">
        <v>2332</v>
      </c>
      <c r="B2239" s="22" t="s">
        <v>56</v>
      </c>
      <c r="C2239" s="22" t="s">
        <v>124</v>
      </c>
      <c r="D2239" s="23">
        <v>1</v>
      </c>
      <c r="E2239" s="24">
        <f>SUM($D$2:D2239)/SUM($D$2:$D$2846)</f>
        <v>0.94842820730671196</v>
      </c>
      <c r="F2239" s="22" t="s">
        <v>53</v>
      </c>
      <c r="G2239" s="25" t="s">
        <v>125</v>
      </c>
    </row>
    <row r="2240" spans="1:7">
      <c r="A2240" s="21" t="s">
        <v>2333</v>
      </c>
      <c r="B2240" s="22" t="s">
        <v>56</v>
      </c>
      <c r="C2240" s="22" t="s">
        <v>124</v>
      </c>
      <c r="D2240" s="23">
        <v>1</v>
      </c>
      <c r="E2240" s="24">
        <f>SUM($D$2:D2240)/SUM($D$2:$D$2846)</f>
        <v>0.9485131690739167</v>
      </c>
      <c r="F2240" s="22" t="s">
        <v>53</v>
      </c>
      <c r="G2240" s="25" t="s">
        <v>125</v>
      </c>
    </row>
    <row r="2241" spans="1:7">
      <c r="A2241" s="21" t="s">
        <v>2334</v>
      </c>
      <c r="B2241" s="22" t="s">
        <v>56</v>
      </c>
      <c r="C2241" s="22" t="s">
        <v>124</v>
      </c>
      <c r="D2241" s="23">
        <v>1</v>
      </c>
      <c r="E2241" s="24">
        <f>SUM($D$2:D2241)/SUM($D$2:$D$2846)</f>
        <v>0.94859813084112155</v>
      </c>
      <c r="F2241" s="22" t="s">
        <v>53</v>
      </c>
      <c r="G2241" s="25" t="s">
        <v>125</v>
      </c>
    </row>
    <row r="2242" spans="1:7">
      <c r="A2242" s="21" t="s">
        <v>2335</v>
      </c>
      <c r="B2242" s="22" t="s">
        <v>56</v>
      </c>
      <c r="C2242" s="22" t="s">
        <v>124</v>
      </c>
      <c r="D2242" s="23">
        <v>1</v>
      </c>
      <c r="E2242" s="24">
        <f>SUM($D$2:D2242)/SUM($D$2:$D$2846)</f>
        <v>0.94868309260832628</v>
      </c>
      <c r="F2242" s="22" t="s">
        <v>53</v>
      </c>
      <c r="G2242" s="25" t="s">
        <v>125</v>
      </c>
    </row>
    <row r="2243" spans="1:7">
      <c r="A2243" s="21" t="s">
        <v>2336</v>
      </c>
      <c r="B2243" s="22" t="s">
        <v>56</v>
      </c>
      <c r="C2243" s="22" t="s">
        <v>124</v>
      </c>
      <c r="D2243" s="23">
        <v>1</v>
      </c>
      <c r="E2243" s="24">
        <f>SUM($D$2:D2243)/SUM($D$2:$D$2846)</f>
        <v>0.94876805437553102</v>
      </c>
      <c r="F2243" s="22" t="s">
        <v>53</v>
      </c>
      <c r="G2243" s="25" t="s">
        <v>125</v>
      </c>
    </row>
    <row r="2244" spans="1:7">
      <c r="A2244" s="21" t="s">
        <v>2337</v>
      </c>
      <c r="B2244" s="22" t="s">
        <v>56</v>
      </c>
      <c r="C2244" s="22" t="s">
        <v>124</v>
      </c>
      <c r="D2244" s="23">
        <v>1</v>
      </c>
      <c r="E2244" s="24">
        <f>SUM($D$2:D2244)/SUM($D$2:$D$2846)</f>
        <v>0.94885301614273576</v>
      </c>
      <c r="F2244" s="22" t="s">
        <v>53</v>
      </c>
      <c r="G2244" s="25" t="s">
        <v>125</v>
      </c>
    </row>
    <row r="2245" spans="1:7">
      <c r="A2245" s="21" t="s">
        <v>2338</v>
      </c>
      <c r="B2245" s="22" t="s">
        <v>56</v>
      </c>
      <c r="C2245" s="22" t="s">
        <v>124</v>
      </c>
      <c r="D2245" s="23">
        <v>1</v>
      </c>
      <c r="E2245" s="24">
        <f>SUM($D$2:D2245)/SUM($D$2:$D$2846)</f>
        <v>0.9489379779099405</v>
      </c>
      <c r="F2245" s="22" t="s">
        <v>53</v>
      </c>
      <c r="G2245" s="25" t="s">
        <v>125</v>
      </c>
    </row>
    <row r="2246" spans="1:7">
      <c r="A2246" s="21" t="s">
        <v>2339</v>
      </c>
      <c r="B2246" s="22" t="s">
        <v>56</v>
      </c>
      <c r="C2246" s="22" t="s">
        <v>124</v>
      </c>
      <c r="D2246" s="23">
        <v>1</v>
      </c>
      <c r="E2246" s="24">
        <f>SUM($D$2:D2246)/SUM($D$2:$D$2846)</f>
        <v>0.94902293967714524</v>
      </c>
      <c r="F2246" s="22" t="s">
        <v>53</v>
      </c>
      <c r="G2246" s="25" t="s">
        <v>125</v>
      </c>
    </row>
    <row r="2247" spans="1:7">
      <c r="A2247" s="21" t="s">
        <v>2340</v>
      </c>
      <c r="B2247" s="22" t="s">
        <v>56</v>
      </c>
      <c r="C2247" s="22" t="s">
        <v>124</v>
      </c>
      <c r="D2247" s="23">
        <v>1</v>
      </c>
      <c r="E2247" s="24">
        <f>SUM($D$2:D2247)/SUM($D$2:$D$2846)</f>
        <v>0.94910790144435009</v>
      </c>
      <c r="F2247" s="22" t="s">
        <v>53</v>
      </c>
      <c r="G2247" s="25" t="s">
        <v>125</v>
      </c>
    </row>
    <row r="2248" spans="1:7">
      <c r="A2248" s="21" t="s">
        <v>99</v>
      </c>
      <c r="B2248" s="26" t="s">
        <v>3012</v>
      </c>
      <c r="C2248" s="22" t="s">
        <v>73</v>
      </c>
      <c r="D2248" s="23">
        <v>1</v>
      </c>
      <c r="E2248" s="24">
        <f>SUM($D$2:D2248)/SUM($D$2:$D$2846)</f>
        <v>0.94919286321155483</v>
      </c>
      <c r="F2248" s="22" t="s">
        <v>53</v>
      </c>
      <c r="G2248" s="25" t="s">
        <v>74</v>
      </c>
    </row>
    <row r="2249" spans="1:7">
      <c r="A2249" s="21" t="s">
        <v>2341</v>
      </c>
      <c r="B2249" s="22" t="s">
        <v>56</v>
      </c>
      <c r="C2249" s="22" t="s">
        <v>124</v>
      </c>
      <c r="D2249" s="23">
        <v>1</v>
      </c>
      <c r="E2249" s="24">
        <f>SUM($D$2:D2249)/SUM($D$2:$D$2846)</f>
        <v>0.94927782497875957</v>
      </c>
      <c r="F2249" s="22" t="s">
        <v>53</v>
      </c>
      <c r="G2249" s="25" t="s">
        <v>125</v>
      </c>
    </row>
    <row r="2250" spans="1:7">
      <c r="A2250" s="21" t="s">
        <v>2342</v>
      </c>
      <c r="B2250" s="22" t="s">
        <v>56</v>
      </c>
      <c r="C2250" s="22" t="s">
        <v>124</v>
      </c>
      <c r="D2250" s="23">
        <v>1</v>
      </c>
      <c r="E2250" s="24">
        <f>SUM($D$2:D2250)/SUM($D$2:$D$2846)</f>
        <v>0.9493627867459643</v>
      </c>
      <c r="F2250" s="22" t="s">
        <v>53</v>
      </c>
      <c r="G2250" s="25" t="s">
        <v>125</v>
      </c>
    </row>
    <row r="2251" spans="1:7">
      <c r="A2251" s="21" t="s">
        <v>2343</v>
      </c>
      <c r="B2251" s="22" t="s">
        <v>56</v>
      </c>
      <c r="C2251" s="22" t="s">
        <v>124</v>
      </c>
      <c r="D2251" s="23">
        <v>1</v>
      </c>
      <c r="E2251" s="24">
        <f>SUM($D$2:D2251)/SUM($D$2:$D$2846)</f>
        <v>0.94944774851316904</v>
      </c>
      <c r="F2251" s="22" t="s">
        <v>53</v>
      </c>
      <c r="G2251" s="25" t="s">
        <v>125</v>
      </c>
    </row>
    <row r="2252" spans="1:7">
      <c r="A2252" s="21" t="s">
        <v>2344</v>
      </c>
      <c r="B2252" s="22" t="s">
        <v>56</v>
      </c>
      <c r="C2252" s="22" t="s">
        <v>124</v>
      </c>
      <c r="D2252" s="23">
        <v>1</v>
      </c>
      <c r="E2252" s="24">
        <f>SUM($D$2:D2252)/SUM($D$2:$D$2846)</f>
        <v>0.94953271028037378</v>
      </c>
      <c r="F2252" s="22" t="s">
        <v>53</v>
      </c>
      <c r="G2252" s="25" t="s">
        <v>125</v>
      </c>
    </row>
    <row r="2253" spans="1:7">
      <c r="A2253" s="21" t="s">
        <v>2345</v>
      </c>
      <c r="B2253" s="22" t="s">
        <v>56</v>
      </c>
      <c r="C2253" s="22" t="s">
        <v>124</v>
      </c>
      <c r="D2253" s="23">
        <v>1</v>
      </c>
      <c r="E2253" s="24">
        <f>SUM($D$2:D2253)/SUM($D$2:$D$2846)</f>
        <v>0.94961767204757863</v>
      </c>
      <c r="F2253" s="22" t="s">
        <v>53</v>
      </c>
      <c r="G2253" s="25" t="s">
        <v>125</v>
      </c>
    </row>
    <row r="2254" spans="1:7">
      <c r="A2254" s="21" t="s">
        <v>2346</v>
      </c>
      <c r="B2254" s="22" t="s">
        <v>56</v>
      </c>
      <c r="C2254" s="22" t="s">
        <v>124</v>
      </c>
      <c r="D2254" s="23">
        <v>1</v>
      </c>
      <c r="E2254" s="24">
        <f>SUM($D$2:D2254)/SUM($D$2:$D$2846)</f>
        <v>0.94970263381478337</v>
      </c>
      <c r="F2254" s="22" t="s">
        <v>53</v>
      </c>
      <c r="G2254" s="25" t="s">
        <v>125</v>
      </c>
    </row>
    <row r="2255" spans="1:7">
      <c r="A2255" s="21" t="s">
        <v>2347</v>
      </c>
      <c r="B2255" s="22" t="s">
        <v>56</v>
      </c>
      <c r="C2255" s="22" t="s">
        <v>124</v>
      </c>
      <c r="D2255" s="23">
        <v>1</v>
      </c>
      <c r="E2255" s="24">
        <f>SUM($D$2:D2255)/SUM($D$2:$D$2846)</f>
        <v>0.94978759558198811</v>
      </c>
      <c r="F2255" s="22" t="s">
        <v>53</v>
      </c>
      <c r="G2255" s="25" t="s">
        <v>125</v>
      </c>
    </row>
    <row r="2256" spans="1:7">
      <c r="A2256" s="21" t="s">
        <v>2348</v>
      </c>
      <c r="B2256" s="22" t="s">
        <v>56</v>
      </c>
      <c r="C2256" s="22" t="s">
        <v>124</v>
      </c>
      <c r="D2256" s="23">
        <v>1</v>
      </c>
      <c r="E2256" s="24">
        <f>SUM($D$2:D2256)/SUM($D$2:$D$2846)</f>
        <v>0.94987255734919285</v>
      </c>
      <c r="F2256" s="22" t="s">
        <v>53</v>
      </c>
      <c r="G2256" s="25" t="s">
        <v>125</v>
      </c>
    </row>
    <row r="2257" spans="1:7">
      <c r="A2257" s="21" t="s">
        <v>2349</v>
      </c>
      <c r="B2257" s="22" t="s">
        <v>56</v>
      </c>
      <c r="C2257" s="22" t="s">
        <v>124</v>
      </c>
      <c r="D2257" s="23">
        <v>1</v>
      </c>
      <c r="E2257" s="24">
        <f>SUM($D$2:D2257)/SUM($D$2:$D$2846)</f>
        <v>0.94995751911639759</v>
      </c>
      <c r="F2257" s="22" t="s">
        <v>53</v>
      </c>
      <c r="G2257" s="25" t="s">
        <v>125</v>
      </c>
    </row>
    <row r="2258" spans="1:7">
      <c r="A2258" s="21" t="s">
        <v>2350</v>
      </c>
      <c r="B2258" s="22" t="s">
        <v>56</v>
      </c>
      <c r="C2258" s="22" t="s">
        <v>124</v>
      </c>
      <c r="D2258" s="23">
        <v>1</v>
      </c>
      <c r="E2258" s="24">
        <f>SUM($D$2:D2258)/SUM($D$2:$D$2846)</f>
        <v>0.95004248088360232</v>
      </c>
      <c r="F2258" s="22" t="s">
        <v>53</v>
      </c>
      <c r="G2258" s="25" t="s">
        <v>125</v>
      </c>
    </row>
    <row r="2259" spans="1:7">
      <c r="A2259" s="21" t="s">
        <v>2351</v>
      </c>
      <c r="B2259" s="22" t="s">
        <v>56</v>
      </c>
      <c r="C2259" s="22" t="s">
        <v>124</v>
      </c>
      <c r="D2259" s="23">
        <v>1</v>
      </c>
      <c r="E2259" s="24">
        <f>SUM($D$2:D2259)/SUM($D$2:$D$2846)</f>
        <v>0.95012744265080717</v>
      </c>
      <c r="F2259" s="22" t="s">
        <v>53</v>
      </c>
      <c r="G2259" s="25" t="s">
        <v>125</v>
      </c>
    </row>
    <row r="2260" spans="1:7">
      <c r="A2260" s="21" t="s">
        <v>2352</v>
      </c>
      <c r="B2260" s="22" t="s">
        <v>56</v>
      </c>
      <c r="C2260" s="22" t="s">
        <v>124</v>
      </c>
      <c r="D2260" s="23">
        <v>1</v>
      </c>
      <c r="E2260" s="24">
        <f>SUM($D$2:D2260)/SUM($D$2:$D$2846)</f>
        <v>0.95021240441801191</v>
      </c>
      <c r="F2260" s="22" t="s">
        <v>53</v>
      </c>
      <c r="G2260" s="25" t="s">
        <v>125</v>
      </c>
    </row>
    <row r="2261" spans="1:7">
      <c r="A2261" s="21" t="s">
        <v>2353</v>
      </c>
      <c r="B2261" s="22" t="s">
        <v>56</v>
      </c>
      <c r="C2261" s="22" t="s">
        <v>124</v>
      </c>
      <c r="D2261" s="23">
        <v>1</v>
      </c>
      <c r="E2261" s="24">
        <f>SUM($D$2:D2261)/SUM($D$2:$D$2846)</f>
        <v>0.95029736618521665</v>
      </c>
      <c r="F2261" s="22" t="s">
        <v>53</v>
      </c>
      <c r="G2261" s="25" t="s">
        <v>125</v>
      </c>
    </row>
    <row r="2262" spans="1:7">
      <c r="A2262" s="21" t="s">
        <v>2354</v>
      </c>
      <c r="B2262" s="26" t="s">
        <v>163</v>
      </c>
      <c r="C2262" s="22" t="s">
        <v>45</v>
      </c>
      <c r="D2262" s="23">
        <v>1</v>
      </c>
      <c r="E2262" s="24">
        <f>SUM($D$2:D2262)/SUM($D$2:$D$2846)</f>
        <v>0.95038232795242139</v>
      </c>
      <c r="F2262" s="22" t="s">
        <v>53</v>
      </c>
      <c r="G2262" s="25" t="s">
        <v>164</v>
      </c>
    </row>
    <row r="2263" spans="1:7">
      <c r="A2263" s="21" t="s">
        <v>2355</v>
      </c>
      <c r="B2263" s="26" t="s">
        <v>163</v>
      </c>
      <c r="C2263" s="22" t="s">
        <v>45</v>
      </c>
      <c r="D2263" s="23">
        <v>1</v>
      </c>
      <c r="E2263" s="24">
        <f>SUM($D$2:D2263)/SUM($D$2:$D$2846)</f>
        <v>0.95046728971962613</v>
      </c>
      <c r="F2263" s="22" t="s">
        <v>53</v>
      </c>
      <c r="G2263" s="25" t="s">
        <v>164</v>
      </c>
    </row>
    <row r="2264" spans="1:7">
      <c r="A2264" s="21" t="s">
        <v>2356</v>
      </c>
      <c r="B2264" s="22" t="s">
        <v>56</v>
      </c>
      <c r="C2264" s="22" t="s">
        <v>124</v>
      </c>
      <c r="D2264" s="23">
        <v>1</v>
      </c>
      <c r="E2264" s="24">
        <f>SUM($D$2:D2264)/SUM($D$2:$D$2846)</f>
        <v>0.95055225148683098</v>
      </c>
      <c r="F2264" s="22" t="s">
        <v>53</v>
      </c>
      <c r="G2264" s="25" t="s">
        <v>125</v>
      </c>
    </row>
    <row r="2265" spans="1:7">
      <c r="A2265" s="21" t="s">
        <v>2357</v>
      </c>
      <c r="B2265" s="22" t="s">
        <v>56</v>
      </c>
      <c r="C2265" s="22" t="s">
        <v>124</v>
      </c>
      <c r="D2265" s="23">
        <v>1</v>
      </c>
      <c r="E2265" s="24">
        <f>SUM($D$2:D2265)/SUM($D$2:$D$2846)</f>
        <v>0.95063721325403572</v>
      </c>
      <c r="F2265" s="22" t="s">
        <v>53</v>
      </c>
      <c r="G2265" s="25" t="s">
        <v>125</v>
      </c>
    </row>
    <row r="2266" spans="1:7">
      <c r="A2266" s="21" t="s">
        <v>2358</v>
      </c>
      <c r="B2266" s="22" t="s">
        <v>56</v>
      </c>
      <c r="C2266" s="22" t="s">
        <v>124</v>
      </c>
      <c r="D2266" s="23">
        <v>1</v>
      </c>
      <c r="E2266" s="24">
        <f>SUM($D$2:D2266)/SUM($D$2:$D$2846)</f>
        <v>0.95072217502124046</v>
      </c>
      <c r="F2266" s="22" t="s">
        <v>53</v>
      </c>
      <c r="G2266" s="25" t="s">
        <v>125</v>
      </c>
    </row>
    <row r="2267" spans="1:7">
      <c r="A2267" s="21" t="s">
        <v>2359</v>
      </c>
      <c r="B2267" s="22" t="s">
        <v>56</v>
      </c>
      <c r="C2267" s="22" t="s">
        <v>124</v>
      </c>
      <c r="D2267" s="23">
        <v>1</v>
      </c>
      <c r="E2267" s="24">
        <f>SUM($D$2:D2267)/SUM($D$2:$D$2846)</f>
        <v>0.9508071367884452</v>
      </c>
      <c r="F2267" s="22" t="s">
        <v>53</v>
      </c>
      <c r="G2267" s="25" t="s">
        <v>125</v>
      </c>
    </row>
    <row r="2268" spans="1:7">
      <c r="A2268" s="21" t="s">
        <v>2360</v>
      </c>
      <c r="B2268" s="22" t="s">
        <v>56</v>
      </c>
      <c r="C2268" s="22" t="s">
        <v>124</v>
      </c>
      <c r="D2268" s="23">
        <v>1</v>
      </c>
      <c r="E2268" s="24">
        <f>SUM($D$2:D2268)/SUM($D$2:$D$2846)</f>
        <v>0.95089209855564993</v>
      </c>
      <c r="F2268" s="22" t="s">
        <v>53</v>
      </c>
      <c r="G2268" s="25" t="s">
        <v>125</v>
      </c>
    </row>
    <row r="2269" spans="1:7">
      <c r="A2269" s="21" t="s">
        <v>2361</v>
      </c>
      <c r="B2269" s="22" t="s">
        <v>56</v>
      </c>
      <c r="C2269" s="22" t="s">
        <v>124</v>
      </c>
      <c r="D2269" s="23">
        <v>1</v>
      </c>
      <c r="E2269" s="24">
        <f>SUM($D$2:D2269)/SUM($D$2:$D$2846)</f>
        <v>0.95097706032285467</v>
      </c>
      <c r="F2269" s="22" t="s">
        <v>53</v>
      </c>
      <c r="G2269" s="25" t="s">
        <v>125</v>
      </c>
    </row>
    <row r="2270" spans="1:7">
      <c r="A2270" s="21" t="s">
        <v>2362</v>
      </c>
      <c r="B2270" s="22" t="s">
        <v>56</v>
      </c>
      <c r="C2270" s="22" t="s">
        <v>124</v>
      </c>
      <c r="D2270" s="23">
        <v>1</v>
      </c>
      <c r="E2270" s="24">
        <f>SUM($D$2:D2270)/SUM($D$2:$D$2846)</f>
        <v>0.95106202209005952</v>
      </c>
      <c r="F2270" s="22" t="s">
        <v>53</v>
      </c>
      <c r="G2270" s="25" t="s">
        <v>125</v>
      </c>
    </row>
    <row r="2271" spans="1:7">
      <c r="A2271" s="21" t="s">
        <v>2363</v>
      </c>
      <c r="B2271" s="22" t="s">
        <v>56</v>
      </c>
      <c r="C2271" s="22" t="s">
        <v>124</v>
      </c>
      <c r="D2271" s="23">
        <v>1</v>
      </c>
      <c r="E2271" s="24">
        <f>SUM($D$2:D2271)/SUM($D$2:$D$2846)</f>
        <v>0.95114698385726426</v>
      </c>
      <c r="F2271" s="22" t="s">
        <v>53</v>
      </c>
      <c r="G2271" s="25" t="s">
        <v>125</v>
      </c>
    </row>
    <row r="2272" spans="1:7">
      <c r="A2272" s="21" t="s">
        <v>2364</v>
      </c>
      <c r="B2272" s="22" t="s">
        <v>56</v>
      </c>
      <c r="C2272" s="22" t="s">
        <v>124</v>
      </c>
      <c r="D2272" s="23">
        <v>1</v>
      </c>
      <c r="E2272" s="24">
        <f>SUM($D$2:D2272)/SUM($D$2:$D$2846)</f>
        <v>0.951231945624469</v>
      </c>
      <c r="F2272" s="22" t="s">
        <v>53</v>
      </c>
      <c r="G2272" s="25" t="s">
        <v>125</v>
      </c>
    </row>
    <row r="2273" spans="1:7">
      <c r="A2273" s="21" t="s">
        <v>2365</v>
      </c>
      <c r="B2273" s="26" t="s">
        <v>163</v>
      </c>
      <c r="C2273" s="22" t="s">
        <v>45</v>
      </c>
      <c r="D2273" s="23">
        <v>1</v>
      </c>
      <c r="E2273" s="24">
        <f>SUM($D$2:D2273)/SUM($D$2:$D$2846)</f>
        <v>0.95131690739167374</v>
      </c>
      <c r="F2273" s="22" t="s">
        <v>53</v>
      </c>
      <c r="G2273" s="25" t="s">
        <v>164</v>
      </c>
    </row>
    <row r="2274" spans="1:7">
      <c r="A2274" s="21" t="s">
        <v>2366</v>
      </c>
      <c r="B2274" s="22" t="s">
        <v>56</v>
      </c>
      <c r="C2274" s="22" t="s">
        <v>124</v>
      </c>
      <c r="D2274" s="23">
        <v>1</v>
      </c>
      <c r="E2274" s="24">
        <f>SUM($D$2:D2274)/SUM($D$2:$D$2846)</f>
        <v>0.95140186915887848</v>
      </c>
      <c r="F2274" s="22" t="s">
        <v>53</v>
      </c>
      <c r="G2274" s="25" t="s">
        <v>125</v>
      </c>
    </row>
    <row r="2275" spans="1:7">
      <c r="A2275" s="21" t="s">
        <v>2367</v>
      </c>
      <c r="B2275" s="26" t="s">
        <v>163</v>
      </c>
      <c r="C2275" s="22" t="s">
        <v>45</v>
      </c>
      <c r="D2275" s="23">
        <v>1</v>
      </c>
      <c r="E2275" s="24">
        <f>SUM($D$2:D2275)/SUM($D$2:$D$2846)</f>
        <v>0.95148683092608322</v>
      </c>
      <c r="F2275" s="22" t="s">
        <v>53</v>
      </c>
      <c r="G2275" s="25" t="s">
        <v>164</v>
      </c>
    </row>
    <row r="2276" spans="1:7">
      <c r="A2276" s="21" t="s">
        <v>2368</v>
      </c>
      <c r="B2276" s="22" t="s">
        <v>56</v>
      </c>
      <c r="C2276" s="22" t="s">
        <v>124</v>
      </c>
      <c r="D2276" s="23">
        <v>1</v>
      </c>
      <c r="E2276" s="24">
        <f>SUM($D$2:D2276)/SUM($D$2:$D$2846)</f>
        <v>0.95157179269328807</v>
      </c>
      <c r="F2276" s="22" t="s">
        <v>53</v>
      </c>
      <c r="G2276" s="25" t="s">
        <v>125</v>
      </c>
    </row>
    <row r="2277" spans="1:7">
      <c r="A2277" s="21" t="s">
        <v>2369</v>
      </c>
      <c r="B2277" s="26" t="s">
        <v>163</v>
      </c>
      <c r="C2277" s="22" t="s">
        <v>45</v>
      </c>
      <c r="D2277" s="23">
        <v>1</v>
      </c>
      <c r="E2277" s="24">
        <f>SUM($D$2:D2277)/SUM($D$2:$D$2846)</f>
        <v>0.9516567544604928</v>
      </c>
      <c r="F2277" s="22" t="s">
        <v>53</v>
      </c>
      <c r="G2277" s="25" t="s">
        <v>164</v>
      </c>
    </row>
    <row r="2278" spans="1:7">
      <c r="A2278" s="21" t="s">
        <v>2370</v>
      </c>
      <c r="B2278" s="22" t="s">
        <v>56</v>
      </c>
      <c r="C2278" s="22" t="s">
        <v>124</v>
      </c>
      <c r="D2278" s="23">
        <v>1</v>
      </c>
      <c r="E2278" s="24">
        <f>SUM($D$2:D2278)/SUM($D$2:$D$2846)</f>
        <v>0.95174171622769754</v>
      </c>
      <c r="F2278" s="22" t="s">
        <v>53</v>
      </c>
      <c r="G2278" s="25" t="s">
        <v>125</v>
      </c>
    </row>
    <row r="2279" spans="1:7">
      <c r="A2279" s="21" t="s">
        <v>2371</v>
      </c>
      <c r="B2279" s="22" t="s">
        <v>56</v>
      </c>
      <c r="C2279" s="22" t="s">
        <v>124</v>
      </c>
      <c r="D2279" s="23">
        <v>1</v>
      </c>
      <c r="E2279" s="24">
        <f>SUM($D$2:D2279)/SUM($D$2:$D$2846)</f>
        <v>0.95182667799490228</v>
      </c>
      <c r="F2279" s="22" t="s">
        <v>53</v>
      </c>
      <c r="G2279" s="25" t="s">
        <v>125</v>
      </c>
    </row>
    <row r="2280" spans="1:7">
      <c r="A2280" s="21" t="s">
        <v>2372</v>
      </c>
      <c r="B2280" s="22" t="s">
        <v>56</v>
      </c>
      <c r="C2280" s="22" t="s">
        <v>124</v>
      </c>
      <c r="D2280" s="23">
        <v>1</v>
      </c>
      <c r="E2280" s="24">
        <f>SUM($D$2:D2280)/SUM($D$2:$D$2846)</f>
        <v>0.95191163976210702</v>
      </c>
      <c r="F2280" s="22" t="s">
        <v>53</v>
      </c>
      <c r="G2280" s="25" t="s">
        <v>125</v>
      </c>
    </row>
    <row r="2281" spans="1:7">
      <c r="A2281" s="21" t="s">
        <v>2373</v>
      </c>
      <c r="B2281" s="22" t="s">
        <v>129</v>
      </c>
      <c r="C2281" s="22" t="s">
        <v>124</v>
      </c>
      <c r="D2281" s="23">
        <v>1</v>
      </c>
      <c r="E2281" s="24">
        <f>SUM($D$2:D2281)/SUM($D$2:$D$2846)</f>
        <v>0.95199660152931176</v>
      </c>
      <c r="F2281" s="22" t="s">
        <v>53</v>
      </c>
      <c r="G2281" s="25" t="s">
        <v>130</v>
      </c>
    </row>
    <row r="2282" spans="1:7">
      <c r="A2282" s="21" t="s">
        <v>2374</v>
      </c>
      <c r="B2282" s="22" t="s">
        <v>56</v>
      </c>
      <c r="C2282" s="22" t="s">
        <v>124</v>
      </c>
      <c r="D2282" s="23">
        <v>1</v>
      </c>
      <c r="E2282" s="24">
        <f>SUM($D$2:D2282)/SUM($D$2:$D$2846)</f>
        <v>0.95208156329651661</v>
      </c>
      <c r="F2282" s="22" t="s">
        <v>53</v>
      </c>
      <c r="G2282" s="25" t="s">
        <v>125</v>
      </c>
    </row>
    <row r="2283" spans="1:7">
      <c r="A2283" s="21" t="s">
        <v>2375</v>
      </c>
      <c r="B2283" s="22" t="s">
        <v>129</v>
      </c>
      <c r="C2283" s="22" t="s">
        <v>124</v>
      </c>
      <c r="D2283" s="23">
        <v>1</v>
      </c>
      <c r="E2283" s="24">
        <f>SUM($D$2:D2283)/SUM($D$2:$D$2846)</f>
        <v>0.95216652506372135</v>
      </c>
      <c r="F2283" s="22" t="s">
        <v>53</v>
      </c>
      <c r="G2283" s="25" t="s">
        <v>130</v>
      </c>
    </row>
    <row r="2284" spans="1:7">
      <c r="A2284" s="21" t="s">
        <v>2376</v>
      </c>
      <c r="B2284" s="22" t="s">
        <v>129</v>
      </c>
      <c r="C2284" s="22" t="s">
        <v>124</v>
      </c>
      <c r="D2284" s="23">
        <v>1</v>
      </c>
      <c r="E2284" s="24">
        <f>SUM($D$2:D2284)/SUM($D$2:$D$2846)</f>
        <v>0.95225148683092609</v>
      </c>
      <c r="F2284" s="22" t="s">
        <v>53</v>
      </c>
      <c r="G2284" s="25" t="s">
        <v>130</v>
      </c>
    </row>
    <row r="2285" spans="1:7">
      <c r="A2285" s="21" t="s">
        <v>2377</v>
      </c>
      <c r="B2285" s="22" t="s">
        <v>129</v>
      </c>
      <c r="C2285" s="22" t="s">
        <v>124</v>
      </c>
      <c r="D2285" s="23">
        <v>1</v>
      </c>
      <c r="E2285" s="24">
        <f>SUM($D$2:D2285)/SUM($D$2:$D$2846)</f>
        <v>0.95233644859813082</v>
      </c>
      <c r="F2285" s="22" t="s">
        <v>53</v>
      </c>
      <c r="G2285" s="25" t="s">
        <v>130</v>
      </c>
    </row>
    <row r="2286" spans="1:7">
      <c r="A2286" s="21" t="s">
        <v>2378</v>
      </c>
      <c r="B2286" s="22" t="s">
        <v>129</v>
      </c>
      <c r="C2286" s="22" t="s">
        <v>124</v>
      </c>
      <c r="D2286" s="23">
        <v>1</v>
      </c>
      <c r="E2286" s="24">
        <f>SUM($D$2:D2286)/SUM($D$2:$D$2846)</f>
        <v>0.95242141036533556</v>
      </c>
      <c r="F2286" s="22" t="s">
        <v>53</v>
      </c>
      <c r="G2286" s="25" t="s">
        <v>130</v>
      </c>
    </row>
    <row r="2287" spans="1:7">
      <c r="A2287" s="21" t="s">
        <v>2379</v>
      </c>
      <c r="B2287" s="22" t="s">
        <v>129</v>
      </c>
      <c r="C2287" s="22" t="s">
        <v>124</v>
      </c>
      <c r="D2287" s="23">
        <v>1</v>
      </c>
      <c r="E2287" s="24">
        <f>SUM($D$2:D2287)/SUM($D$2:$D$2846)</f>
        <v>0.9525063721325403</v>
      </c>
      <c r="F2287" s="22" t="s">
        <v>53</v>
      </c>
      <c r="G2287" s="25" t="s">
        <v>130</v>
      </c>
    </row>
    <row r="2288" spans="1:7">
      <c r="A2288" s="21" t="s">
        <v>2380</v>
      </c>
      <c r="B2288" s="22" t="s">
        <v>56</v>
      </c>
      <c r="C2288" s="22" t="s">
        <v>124</v>
      </c>
      <c r="D2288" s="23">
        <v>1</v>
      </c>
      <c r="E2288" s="24">
        <f>SUM($D$2:D2288)/SUM($D$2:$D$2846)</f>
        <v>0.95259133389974515</v>
      </c>
      <c r="F2288" s="22" t="s">
        <v>53</v>
      </c>
      <c r="G2288" s="25" t="s">
        <v>125</v>
      </c>
    </row>
    <row r="2289" spans="1:7">
      <c r="A2289" s="21" t="s">
        <v>2381</v>
      </c>
      <c r="B2289" s="22" t="s">
        <v>56</v>
      </c>
      <c r="C2289" s="22" t="s">
        <v>124</v>
      </c>
      <c r="D2289" s="23">
        <v>1</v>
      </c>
      <c r="E2289" s="24">
        <f>SUM($D$2:D2289)/SUM($D$2:$D$2846)</f>
        <v>0.95267629566694989</v>
      </c>
      <c r="F2289" s="22" t="s">
        <v>53</v>
      </c>
      <c r="G2289" s="25" t="s">
        <v>125</v>
      </c>
    </row>
    <row r="2290" spans="1:7">
      <c r="A2290" s="21" t="s">
        <v>100</v>
      </c>
      <c r="B2290" s="26" t="s">
        <v>56</v>
      </c>
      <c r="C2290" s="22" t="s">
        <v>45</v>
      </c>
      <c r="D2290" s="23">
        <v>1</v>
      </c>
      <c r="E2290" s="24">
        <f>SUM($D$2:D2290)/SUM($D$2:$D$2846)</f>
        <v>0.95276125743415463</v>
      </c>
      <c r="F2290" s="22" t="s">
        <v>53</v>
      </c>
      <c r="G2290" s="25" t="s">
        <v>47</v>
      </c>
    </row>
    <row r="2291" spans="1:7">
      <c r="A2291" s="21" t="s">
        <v>2382</v>
      </c>
      <c r="B2291" s="26" t="s">
        <v>163</v>
      </c>
      <c r="C2291" s="22" t="s">
        <v>45</v>
      </c>
      <c r="D2291" s="23">
        <v>1</v>
      </c>
      <c r="E2291" s="24">
        <f>SUM($D$2:D2291)/SUM($D$2:$D$2846)</f>
        <v>0.95284621920135937</v>
      </c>
      <c r="F2291" s="22" t="s">
        <v>53</v>
      </c>
      <c r="G2291" s="25" t="s">
        <v>164</v>
      </c>
    </row>
    <row r="2292" spans="1:7">
      <c r="A2292" s="21" t="s">
        <v>2383</v>
      </c>
      <c r="B2292" s="22" t="s">
        <v>56</v>
      </c>
      <c r="C2292" s="22" t="s">
        <v>124</v>
      </c>
      <c r="D2292" s="23">
        <v>1</v>
      </c>
      <c r="E2292" s="24">
        <f>SUM($D$2:D2292)/SUM($D$2:$D$2846)</f>
        <v>0.95293118096856411</v>
      </c>
      <c r="F2292" s="22" t="s">
        <v>53</v>
      </c>
      <c r="G2292" s="25" t="s">
        <v>125</v>
      </c>
    </row>
    <row r="2293" spans="1:7">
      <c r="A2293" s="21" t="s">
        <v>2384</v>
      </c>
      <c r="B2293" s="22" t="s">
        <v>56</v>
      </c>
      <c r="C2293" s="22" t="s">
        <v>124</v>
      </c>
      <c r="D2293" s="23">
        <v>1</v>
      </c>
      <c r="E2293" s="24">
        <f>SUM($D$2:D2293)/SUM($D$2:$D$2846)</f>
        <v>0.95301614273576896</v>
      </c>
      <c r="F2293" s="22" t="s">
        <v>53</v>
      </c>
      <c r="G2293" s="25" t="s">
        <v>125</v>
      </c>
    </row>
    <row r="2294" spans="1:7">
      <c r="A2294" s="21" t="s">
        <v>2385</v>
      </c>
      <c r="B2294" s="22" t="s">
        <v>56</v>
      </c>
      <c r="C2294" s="22" t="s">
        <v>124</v>
      </c>
      <c r="D2294" s="23">
        <v>1</v>
      </c>
      <c r="E2294" s="24">
        <f>SUM($D$2:D2294)/SUM($D$2:$D$2846)</f>
        <v>0.95310110450297369</v>
      </c>
      <c r="F2294" s="22" t="s">
        <v>53</v>
      </c>
      <c r="G2294" s="25" t="s">
        <v>125</v>
      </c>
    </row>
    <row r="2295" spans="1:7">
      <c r="A2295" s="21" t="s">
        <v>2386</v>
      </c>
      <c r="B2295" s="22" t="s">
        <v>56</v>
      </c>
      <c r="C2295" s="22" t="s">
        <v>124</v>
      </c>
      <c r="D2295" s="23">
        <v>1</v>
      </c>
      <c r="E2295" s="24">
        <f>SUM($D$2:D2295)/SUM($D$2:$D$2846)</f>
        <v>0.95318606627017843</v>
      </c>
      <c r="F2295" s="22" t="s">
        <v>53</v>
      </c>
      <c r="G2295" s="25" t="s">
        <v>125</v>
      </c>
    </row>
    <row r="2296" spans="1:7">
      <c r="A2296" s="21" t="s">
        <v>2387</v>
      </c>
      <c r="B2296" s="22" t="s">
        <v>56</v>
      </c>
      <c r="C2296" s="22" t="s">
        <v>124</v>
      </c>
      <c r="D2296" s="23">
        <v>1</v>
      </c>
      <c r="E2296" s="24">
        <f>SUM($D$2:D2296)/SUM($D$2:$D$2846)</f>
        <v>0.95327102803738317</v>
      </c>
      <c r="F2296" s="22" t="s">
        <v>53</v>
      </c>
      <c r="G2296" s="25" t="s">
        <v>125</v>
      </c>
    </row>
    <row r="2297" spans="1:7">
      <c r="A2297" s="21" t="s">
        <v>2388</v>
      </c>
      <c r="B2297" s="22" t="s">
        <v>129</v>
      </c>
      <c r="C2297" s="22" t="s">
        <v>124</v>
      </c>
      <c r="D2297" s="23">
        <v>1</v>
      </c>
      <c r="E2297" s="24">
        <f>SUM($D$2:D2297)/SUM($D$2:$D$2846)</f>
        <v>0.95335598980458791</v>
      </c>
      <c r="F2297" s="22" t="s">
        <v>53</v>
      </c>
      <c r="G2297" s="25" t="s">
        <v>130</v>
      </c>
    </row>
    <row r="2298" spans="1:7">
      <c r="A2298" s="21" t="s">
        <v>2389</v>
      </c>
      <c r="B2298" s="26" t="s">
        <v>163</v>
      </c>
      <c r="C2298" s="22" t="s">
        <v>45</v>
      </c>
      <c r="D2298" s="23">
        <v>1</v>
      </c>
      <c r="E2298" s="24">
        <f>SUM($D$2:D2298)/SUM($D$2:$D$2846)</f>
        <v>0.95344095157179265</v>
      </c>
      <c r="F2298" s="22" t="s">
        <v>53</v>
      </c>
      <c r="G2298" s="25" t="s">
        <v>164</v>
      </c>
    </row>
    <row r="2299" spans="1:7">
      <c r="A2299" s="21" t="s">
        <v>2390</v>
      </c>
      <c r="B2299" s="22" t="s">
        <v>129</v>
      </c>
      <c r="C2299" s="22" t="s">
        <v>124</v>
      </c>
      <c r="D2299" s="23">
        <v>1</v>
      </c>
      <c r="E2299" s="24">
        <f>SUM($D$2:D2299)/SUM($D$2:$D$2846)</f>
        <v>0.9535259133389975</v>
      </c>
      <c r="F2299" s="22" t="s">
        <v>53</v>
      </c>
      <c r="G2299" s="25" t="s">
        <v>130</v>
      </c>
    </row>
    <row r="2300" spans="1:7">
      <c r="A2300" s="21" t="s">
        <v>2391</v>
      </c>
      <c r="B2300" s="26" t="s">
        <v>163</v>
      </c>
      <c r="C2300" s="22" t="s">
        <v>45</v>
      </c>
      <c r="D2300" s="23">
        <v>1</v>
      </c>
      <c r="E2300" s="24">
        <f>SUM($D$2:D2300)/SUM($D$2:$D$2846)</f>
        <v>0.95361087510620224</v>
      </c>
      <c r="F2300" s="22" t="s">
        <v>53</v>
      </c>
      <c r="G2300" s="25" t="s">
        <v>164</v>
      </c>
    </row>
    <row r="2301" spans="1:7">
      <c r="A2301" s="21" t="s">
        <v>2392</v>
      </c>
      <c r="B2301" s="22" t="s">
        <v>129</v>
      </c>
      <c r="C2301" s="22" t="s">
        <v>124</v>
      </c>
      <c r="D2301" s="23">
        <v>1</v>
      </c>
      <c r="E2301" s="24">
        <f>SUM($D$2:D2301)/SUM($D$2:$D$2846)</f>
        <v>0.95369583687340698</v>
      </c>
      <c r="F2301" s="22" t="s">
        <v>53</v>
      </c>
      <c r="G2301" s="25" t="s">
        <v>130</v>
      </c>
    </row>
    <row r="2302" spans="1:7">
      <c r="A2302" s="21" t="s">
        <v>2393</v>
      </c>
      <c r="B2302" s="22" t="s">
        <v>129</v>
      </c>
      <c r="C2302" s="22" t="s">
        <v>124</v>
      </c>
      <c r="D2302" s="23">
        <v>1</v>
      </c>
      <c r="E2302" s="24">
        <f>SUM($D$2:D2302)/SUM($D$2:$D$2846)</f>
        <v>0.95378079864061172</v>
      </c>
      <c r="F2302" s="22" t="s">
        <v>53</v>
      </c>
      <c r="G2302" s="25" t="s">
        <v>130</v>
      </c>
    </row>
    <row r="2303" spans="1:7">
      <c r="A2303" s="21" t="s">
        <v>2394</v>
      </c>
      <c r="B2303" s="22" t="s">
        <v>129</v>
      </c>
      <c r="C2303" s="22" t="s">
        <v>124</v>
      </c>
      <c r="D2303" s="23">
        <v>1</v>
      </c>
      <c r="E2303" s="24">
        <f>SUM($D$2:D2303)/SUM($D$2:$D$2846)</f>
        <v>0.95386576040781645</v>
      </c>
      <c r="F2303" s="22" t="s">
        <v>53</v>
      </c>
      <c r="G2303" s="25" t="s">
        <v>130</v>
      </c>
    </row>
    <row r="2304" spans="1:7">
      <c r="A2304" s="21" t="s">
        <v>2395</v>
      </c>
      <c r="B2304" s="22" t="s">
        <v>129</v>
      </c>
      <c r="C2304" s="22" t="s">
        <v>124</v>
      </c>
      <c r="D2304" s="23">
        <v>1</v>
      </c>
      <c r="E2304" s="24">
        <f>SUM($D$2:D2304)/SUM($D$2:$D$2846)</f>
        <v>0.95395072217502119</v>
      </c>
      <c r="F2304" s="22" t="s">
        <v>53</v>
      </c>
      <c r="G2304" s="25" t="s">
        <v>130</v>
      </c>
    </row>
    <row r="2305" spans="1:7">
      <c r="A2305" s="21" t="s">
        <v>2396</v>
      </c>
      <c r="B2305" s="22" t="s">
        <v>129</v>
      </c>
      <c r="C2305" s="22" t="s">
        <v>124</v>
      </c>
      <c r="D2305" s="23">
        <v>1</v>
      </c>
      <c r="E2305" s="24">
        <f>SUM($D$2:D2305)/SUM($D$2:$D$2846)</f>
        <v>0.95403568394222604</v>
      </c>
      <c r="F2305" s="22" t="s">
        <v>53</v>
      </c>
      <c r="G2305" s="25" t="s">
        <v>130</v>
      </c>
    </row>
    <row r="2306" spans="1:7">
      <c r="A2306" s="21" t="s">
        <v>2397</v>
      </c>
      <c r="B2306" s="22" t="s">
        <v>129</v>
      </c>
      <c r="C2306" s="22" t="s">
        <v>124</v>
      </c>
      <c r="D2306" s="23">
        <v>1</v>
      </c>
      <c r="E2306" s="24">
        <f>SUM($D$2:D2306)/SUM($D$2:$D$2846)</f>
        <v>0.95412064570943078</v>
      </c>
      <c r="F2306" s="22" t="s">
        <v>53</v>
      </c>
      <c r="G2306" s="25" t="s">
        <v>130</v>
      </c>
    </row>
    <row r="2307" spans="1:7">
      <c r="A2307" s="21" t="s">
        <v>2398</v>
      </c>
      <c r="B2307" s="22" t="s">
        <v>56</v>
      </c>
      <c r="C2307" s="22" t="s">
        <v>124</v>
      </c>
      <c r="D2307" s="23">
        <v>1</v>
      </c>
      <c r="E2307" s="24">
        <f>SUM($D$2:D2307)/SUM($D$2:$D$2846)</f>
        <v>0.95420560747663552</v>
      </c>
      <c r="F2307" s="22" t="s">
        <v>53</v>
      </c>
      <c r="G2307" s="25" t="s">
        <v>125</v>
      </c>
    </row>
    <row r="2308" spans="1:7">
      <c r="A2308" s="21" t="s">
        <v>2399</v>
      </c>
      <c r="B2308" s="22" t="s">
        <v>56</v>
      </c>
      <c r="C2308" s="22" t="s">
        <v>124</v>
      </c>
      <c r="D2308" s="23">
        <v>1</v>
      </c>
      <c r="E2308" s="24">
        <f>SUM($D$2:D2308)/SUM($D$2:$D$2846)</f>
        <v>0.95429056924384026</v>
      </c>
      <c r="F2308" s="22" t="s">
        <v>53</v>
      </c>
      <c r="G2308" s="25" t="s">
        <v>125</v>
      </c>
    </row>
    <row r="2309" spans="1:7">
      <c r="A2309" s="21" t="s">
        <v>2400</v>
      </c>
      <c r="B2309" s="26" t="s">
        <v>163</v>
      </c>
      <c r="C2309" s="22" t="s">
        <v>45</v>
      </c>
      <c r="D2309" s="23">
        <v>1</v>
      </c>
      <c r="E2309" s="24">
        <f>SUM($D$2:D2309)/SUM($D$2:$D$2846)</f>
        <v>0.954375531011045</v>
      </c>
      <c r="F2309" s="22" t="s">
        <v>53</v>
      </c>
      <c r="G2309" s="25" t="s">
        <v>164</v>
      </c>
    </row>
    <row r="2310" spans="1:7">
      <c r="A2310" s="21" t="s">
        <v>2401</v>
      </c>
      <c r="B2310" s="22" t="s">
        <v>56</v>
      </c>
      <c r="C2310" s="22" t="s">
        <v>124</v>
      </c>
      <c r="D2310" s="23">
        <v>1</v>
      </c>
      <c r="E2310" s="24">
        <f>SUM($D$2:D2310)/SUM($D$2:$D$2846)</f>
        <v>0.95446049277824974</v>
      </c>
      <c r="F2310" s="22" t="s">
        <v>53</v>
      </c>
      <c r="G2310" s="25" t="s">
        <v>125</v>
      </c>
    </row>
    <row r="2311" spans="1:7">
      <c r="A2311" s="21" t="s">
        <v>2402</v>
      </c>
      <c r="B2311" s="22" t="s">
        <v>56</v>
      </c>
      <c r="C2311" s="22" t="s">
        <v>124</v>
      </c>
      <c r="D2311" s="23">
        <v>1</v>
      </c>
      <c r="E2311" s="24">
        <f>SUM($D$2:D2311)/SUM($D$2:$D$2846)</f>
        <v>0.95454545454545459</v>
      </c>
      <c r="F2311" s="22" t="s">
        <v>53</v>
      </c>
      <c r="G2311" s="25" t="s">
        <v>125</v>
      </c>
    </row>
    <row r="2312" spans="1:7">
      <c r="A2312" s="21" t="s">
        <v>2403</v>
      </c>
      <c r="B2312" s="22" t="s">
        <v>56</v>
      </c>
      <c r="C2312" s="22" t="s">
        <v>124</v>
      </c>
      <c r="D2312" s="23">
        <v>1</v>
      </c>
      <c r="E2312" s="24">
        <f>SUM($D$2:D2312)/SUM($D$2:$D$2846)</f>
        <v>0.95463041631265932</v>
      </c>
      <c r="F2312" s="22" t="s">
        <v>53</v>
      </c>
      <c r="G2312" s="25" t="s">
        <v>125</v>
      </c>
    </row>
    <row r="2313" spans="1:7">
      <c r="A2313" s="21" t="s">
        <v>2404</v>
      </c>
      <c r="B2313" s="22" t="s">
        <v>56</v>
      </c>
      <c r="C2313" s="22" t="s">
        <v>124</v>
      </c>
      <c r="D2313" s="23">
        <v>1</v>
      </c>
      <c r="E2313" s="24">
        <f>SUM($D$2:D2313)/SUM($D$2:$D$2846)</f>
        <v>0.95471537807986406</v>
      </c>
      <c r="F2313" s="22" t="s">
        <v>53</v>
      </c>
      <c r="G2313" s="25" t="s">
        <v>125</v>
      </c>
    </row>
    <row r="2314" spans="1:7">
      <c r="A2314" s="21" t="s">
        <v>2405</v>
      </c>
      <c r="B2314" s="22" t="s">
        <v>56</v>
      </c>
      <c r="C2314" s="22" t="s">
        <v>124</v>
      </c>
      <c r="D2314" s="23">
        <v>1</v>
      </c>
      <c r="E2314" s="24">
        <f>SUM($D$2:D2314)/SUM($D$2:$D$2846)</f>
        <v>0.9548003398470688</v>
      </c>
      <c r="F2314" s="22" t="s">
        <v>53</v>
      </c>
      <c r="G2314" s="25" t="s">
        <v>125</v>
      </c>
    </row>
    <row r="2315" spans="1:7">
      <c r="A2315" s="21" t="s">
        <v>2406</v>
      </c>
      <c r="B2315" s="22" t="s">
        <v>56</v>
      </c>
      <c r="C2315" s="22" t="s">
        <v>124</v>
      </c>
      <c r="D2315" s="23">
        <v>1</v>
      </c>
      <c r="E2315" s="24">
        <f>SUM($D$2:D2315)/SUM($D$2:$D$2846)</f>
        <v>0.95488530161427354</v>
      </c>
      <c r="F2315" s="22" t="s">
        <v>53</v>
      </c>
      <c r="G2315" s="25" t="s">
        <v>125</v>
      </c>
    </row>
    <row r="2316" spans="1:7">
      <c r="A2316" s="21" t="s">
        <v>2407</v>
      </c>
      <c r="B2316" s="22" t="s">
        <v>56</v>
      </c>
      <c r="C2316" s="22" t="s">
        <v>124</v>
      </c>
      <c r="D2316" s="23">
        <v>1</v>
      </c>
      <c r="E2316" s="24">
        <f>SUM($D$2:D2316)/SUM($D$2:$D$2846)</f>
        <v>0.95497026338147828</v>
      </c>
      <c r="F2316" s="22" t="s">
        <v>53</v>
      </c>
      <c r="G2316" s="25" t="s">
        <v>125</v>
      </c>
    </row>
    <row r="2317" spans="1:7">
      <c r="A2317" s="21" t="s">
        <v>2408</v>
      </c>
      <c r="B2317" s="22" t="s">
        <v>56</v>
      </c>
      <c r="C2317" s="22" t="s">
        <v>124</v>
      </c>
      <c r="D2317" s="23">
        <v>1</v>
      </c>
      <c r="E2317" s="24">
        <f>SUM($D$2:D2317)/SUM($D$2:$D$2846)</f>
        <v>0.95505522514868313</v>
      </c>
      <c r="F2317" s="22" t="s">
        <v>53</v>
      </c>
      <c r="G2317" s="25" t="s">
        <v>125</v>
      </c>
    </row>
    <row r="2318" spans="1:7">
      <c r="A2318" s="21" t="s">
        <v>2409</v>
      </c>
      <c r="B2318" s="22" t="s">
        <v>56</v>
      </c>
      <c r="C2318" s="22" t="s">
        <v>124</v>
      </c>
      <c r="D2318" s="23">
        <v>1</v>
      </c>
      <c r="E2318" s="24">
        <f>SUM($D$2:D2318)/SUM($D$2:$D$2846)</f>
        <v>0.95514018691588787</v>
      </c>
      <c r="F2318" s="22" t="s">
        <v>53</v>
      </c>
      <c r="G2318" s="25" t="s">
        <v>125</v>
      </c>
    </row>
    <row r="2319" spans="1:7">
      <c r="A2319" s="21" t="s">
        <v>2410</v>
      </c>
      <c r="B2319" s="26" t="s">
        <v>163</v>
      </c>
      <c r="C2319" s="22" t="s">
        <v>45</v>
      </c>
      <c r="D2319" s="23">
        <v>1</v>
      </c>
      <c r="E2319" s="24">
        <f>SUM($D$2:D2319)/SUM($D$2:$D$2846)</f>
        <v>0.95522514868309261</v>
      </c>
      <c r="F2319" s="22" t="s">
        <v>53</v>
      </c>
      <c r="G2319" s="25" t="s">
        <v>164</v>
      </c>
    </row>
    <row r="2320" spans="1:7">
      <c r="A2320" s="21" t="s">
        <v>2411</v>
      </c>
      <c r="B2320" s="22" t="s">
        <v>56</v>
      </c>
      <c r="C2320" s="22" t="s">
        <v>124</v>
      </c>
      <c r="D2320" s="23">
        <v>1</v>
      </c>
      <c r="E2320" s="24">
        <f>SUM($D$2:D2320)/SUM($D$2:$D$2846)</f>
        <v>0.95531011045029735</v>
      </c>
      <c r="F2320" s="22" t="s">
        <v>53</v>
      </c>
      <c r="G2320" s="25" t="s">
        <v>125</v>
      </c>
    </row>
    <row r="2321" spans="1:7">
      <c r="A2321" s="21" t="s">
        <v>2412</v>
      </c>
      <c r="B2321" s="22" t="s">
        <v>56</v>
      </c>
      <c r="C2321" s="22" t="s">
        <v>124</v>
      </c>
      <c r="D2321" s="23">
        <v>1</v>
      </c>
      <c r="E2321" s="24">
        <f>SUM($D$2:D2321)/SUM($D$2:$D$2846)</f>
        <v>0.95539507221750208</v>
      </c>
      <c r="F2321" s="22" t="s">
        <v>53</v>
      </c>
      <c r="G2321" s="25" t="s">
        <v>125</v>
      </c>
    </row>
    <row r="2322" spans="1:7">
      <c r="A2322" s="21" t="s">
        <v>2413</v>
      </c>
      <c r="B2322" s="22" t="s">
        <v>56</v>
      </c>
      <c r="C2322" s="22" t="s">
        <v>124</v>
      </c>
      <c r="D2322" s="23">
        <v>1</v>
      </c>
      <c r="E2322" s="24">
        <f>SUM($D$2:D2322)/SUM($D$2:$D$2846)</f>
        <v>0.95548003398470693</v>
      </c>
      <c r="F2322" s="22" t="s">
        <v>53</v>
      </c>
      <c r="G2322" s="25" t="s">
        <v>125</v>
      </c>
    </row>
    <row r="2323" spans="1:7">
      <c r="A2323" s="21" t="s">
        <v>101</v>
      </c>
      <c r="B2323" s="26" t="s">
        <v>163</v>
      </c>
      <c r="C2323" s="22" t="s">
        <v>73</v>
      </c>
      <c r="D2323" s="23">
        <v>1</v>
      </c>
      <c r="E2323" s="24">
        <f>SUM($D$2:D2323)/SUM($D$2:$D$2846)</f>
        <v>0.95556499575191167</v>
      </c>
      <c r="F2323" s="22" t="s">
        <v>53</v>
      </c>
      <c r="G2323" s="25" t="s">
        <v>74</v>
      </c>
    </row>
    <row r="2324" spans="1:7">
      <c r="A2324" s="21" t="s">
        <v>2414</v>
      </c>
      <c r="B2324" s="26" t="s">
        <v>163</v>
      </c>
      <c r="C2324" s="22" t="s">
        <v>45</v>
      </c>
      <c r="D2324" s="23">
        <v>1</v>
      </c>
      <c r="E2324" s="24">
        <f>SUM($D$2:D2324)/SUM($D$2:$D$2846)</f>
        <v>0.95564995751911641</v>
      </c>
      <c r="F2324" s="22" t="s">
        <v>53</v>
      </c>
      <c r="G2324" s="25" t="s">
        <v>164</v>
      </c>
    </row>
    <row r="2325" spans="1:7">
      <c r="A2325" s="21" t="s">
        <v>2415</v>
      </c>
      <c r="B2325" s="26" t="s">
        <v>163</v>
      </c>
      <c r="C2325" s="22" t="s">
        <v>45</v>
      </c>
      <c r="D2325" s="23">
        <v>1</v>
      </c>
      <c r="E2325" s="24">
        <f>SUM($D$2:D2325)/SUM($D$2:$D$2846)</f>
        <v>0.95573491928632115</v>
      </c>
      <c r="F2325" s="22" t="s">
        <v>53</v>
      </c>
      <c r="G2325" s="25" t="s">
        <v>164</v>
      </c>
    </row>
    <row r="2326" spans="1:7">
      <c r="A2326" s="21" t="s">
        <v>2416</v>
      </c>
      <c r="B2326" s="22" t="s">
        <v>56</v>
      </c>
      <c r="C2326" s="22" t="s">
        <v>124</v>
      </c>
      <c r="D2326" s="23">
        <v>1</v>
      </c>
      <c r="E2326" s="24">
        <f>SUM($D$2:D2326)/SUM($D$2:$D$2846)</f>
        <v>0.95581988105352589</v>
      </c>
      <c r="F2326" s="22" t="s">
        <v>53</v>
      </c>
      <c r="G2326" s="25" t="s">
        <v>125</v>
      </c>
    </row>
    <row r="2327" spans="1:7">
      <c r="A2327" s="21" t="s">
        <v>2417</v>
      </c>
      <c r="B2327" s="26" t="s">
        <v>163</v>
      </c>
      <c r="C2327" s="22" t="s">
        <v>45</v>
      </c>
      <c r="D2327" s="23">
        <v>1</v>
      </c>
      <c r="E2327" s="24">
        <f>SUM($D$2:D2327)/SUM($D$2:$D$2846)</f>
        <v>0.95590484282073063</v>
      </c>
      <c r="F2327" s="22" t="s">
        <v>53</v>
      </c>
      <c r="G2327" s="25" t="s">
        <v>164</v>
      </c>
    </row>
    <row r="2328" spans="1:7">
      <c r="A2328" s="21" t="s">
        <v>2418</v>
      </c>
      <c r="B2328" s="26" t="s">
        <v>163</v>
      </c>
      <c r="C2328" s="22" t="s">
        <v>45</v>
      </c>
      <c r="D2328" s="23">
        <v>1</v>
      </c>
      <c r="E2328" s="24">
        <f>SUM($D$2:D2328)/SUM($D$2:$D$2846)</f>
        <v>0.95598980458793548</v>
      </c>
      <c r="F2328" s="22" t="s">
        <v>53</v>
      </c>
      <c r="G2328" s="25" t="s">
        <v>164</v>
      </c>
    </row>
    <row r="2329" spans="1:7">
      <c r="A2329" s="21" t="s">
        <v>2419</v>
      </c>
      <c r="B2329" s="22" t="s">
        <v>56</v>
      </c>
      <c r="C2329" s="22" t="s">
        <v>124</v>
      </c>
      <c r="D2329" s="23">
        <v>1</v>
      </c>
      <c r="E2329" s="24">
        <f>SUM($D$2:D2329)/SUM($D$2:$D$2846)</f>
        <v>0.95607476635514022</v>
      </c>
      <c r="F2329" s="22" t="s">
        <v>53</v>
      </c>
      <c r="G2329" s="25" t="s">
        <v>125</v>
      </c>
    </row>
    <row r="2330" spans="1:7">
      <c r="A2330" s="21" t="s">
        <v>2420</v>
      </c>
      <c r="B2330" s="26" t="s">
        <v>163</v>
      </c>
      <c r="C2330" s="22" t="s">
        <v>45</v>
      </c>
      <c r="D2330" s="23">
        <v>1</v>
      </c>
      <c r="E2330" s="24">
        <f>SUM($D$2:D2330)/SUM($D$2:$D$2846)</f>
        <v>0.95615972812234495</v>
      </c>
      <c r="F2330" s="22" t="s">
        <v>53</v>
      </c>
      <c r="G2330" s="25" t="s">
        <v>164</v>
      </c>
    </row>
    <row r="2331" spans="1:7">
      <c r="A2331" s="21" t="s">
        <v>2421</v>
      </c>
      <c r="B2331" s="22" t="s">
        <v>56</v>
      </c>
      <c r="C2331" s="22" t="s">
        <v>124</v>
      </c>
      <c r="D2331" s="23">
        <v>1</v>
      </c>
      <c r="E2331" s="24">
        <f>SUM($D$2:D2331)/SUM($D$2:$D$2846)</f>
        <v>0.95624468988954969</v>
      </c>
      <c r="F2331" s="22" t="s">
        <v>53</v>
      </c>
      <c r="G2331" s="25" t="s">
        <v>125</v>
      </c>
    </row>
    <row r="2332" spans="1:7">
      <c r="A2332" s="21" t="s">
        <v>2422</v>
      </c>
      <c r="B2332" s="22" t="s">
        <v>56</v>
      </c>
      <c r="C2332" s="22" t="s">
        <v>124</v>
      </c>
      <c r="D2332" s="23">
        <v>1</v>
      </c>
      <c r="E2332" s="24">
        <f>SUM($D$2:D2332)/SUM($D$2:$D$2846)</f>
        <v>0.95632965165675443</v>
      </c>
      <c r="F2332" s="22" t="s">
        <v>53</v>
      </c>
      <c r="G2332" s="25" t="s">
        <v>125</v>
      </c>
    </row>
    <row r="2333" spans="1:7">
      <c r="A2333" s="21" t="s">
        <v>2423</v>
      </c>
      <c r="B2333" s="22" t="s">
        <v>56</v>
      </c>
      <c r="C2333" s="22" t="s">
        <v>124</v>
      </c>
      <c r="D2333" s="23">
        <v>1</v>
      </c>
      <c r="E2333" s="24">
        <f>SUM($D$2:D2333)/SUM($D$2:$D$2846)</f>
        <v>0.95641461342395917</v>
      </c>
      <c r="F2333" s="22" t="s">
        <v>53</v>
      </c>
      <c r="G2333" s="25" t="s">
        <v>125</v>
      </c>
    </row>
    <row r="2334" spans="1:7">
      <c r="A2334" s="21" t="s">
        <v>2424</v>
      </c>
      <c r="B2334" s="22" t="s">
        <v>56</v>
      </c>
      <c r="C2334" s="22" t="s">
        <v>124</v>
      </c>
      <c r="D2334" s="23">
        <v>1</v>
      </c>
      <c r="E2334" s="24">
        <f>SUM($D$2:D2334)/SUM($D$2:$D$2846)</f>
        <v>0.95649957519116402</v>
      </c>
      <c r="F2334" s="22" t="s">
        <v>53</v>
      </c>
      <c r="G2334" s="25" t="s">
        <v>125</v>
      </c>
    </row>
    <row r="2335" spans="1:7">
      <c r="A2335" s="21" t="s">
        <v>2425</v>
      </c>
      <c r="B2335" s="22" t="s">
        <v>56</v>
      </c>
      <c r="C2335" s="22" t="s">
        <v>124</v>
      </c>
      <c r="D2335" s="23">
        <v>1</v>
      </c>
      <c r="E2335" s="24">
        <f>SUM($D$2:D2335)/SUM($D$2:$D$2846)</f>
        <v>0.95658453695836876</v>
      </c>
      <c r="F2335" s="22" t="s">
        <v>53</v>
      </c>
      <c r="G2335" s="25" t="s">
        <v>125</v>
      </c>
    </row>
    <row r="2336" spans="1:7">
      <c r="A2336" s="21" t="s">
        <v>2426</v>
      </c>
      <c r="B2336" s="22" t="s">
        <v>56</v>
      </c>
      <c r="C2336" s="22" t="s">
        <v>124</v>
      </c>
      <c r="D2336" s="23">
        <v>1</v>
      </c>
      <c r="E2336" s="24">
        <f>SUM($D$2:D2336)/SUM($D$2:$D$2846)</f>
        <v>0.9566694987255735</v>
      </c>
      <c r="F2336" s="22" t="s">
        <v>53</v>
      </c>
      <c r="G2336" s="25" t="s">
        <v>125</v>
      </c>
    </row>
    <row r="2337" spans="1:7">
      <c r="A2337" s="21" t="s">
        <v>2427</v>
      </c>
      <c r="B2337" s="22" t="s">
        <v>56</v>
      </c>
      <c r="C2337" s="22" t="s">
        <v>124</v>
      </c>
      <c r="D2337" s="23">
        <v>1</v>
      </c>
      <c r="E2337" s="24">
        <f>SUM($D$2:D2337)/SUM($D$2:$D$2846)</f>
        <v>0.95675446049277824</v>
      </c>
      <c r="F2337" s="22" t="s">
        <v>53</v>
      </c>
      <c r="G2337" s="25" t="s">
        <v>125</v>
      </c>
    </row>
    <row r="2338" spans="1:7">
      <c r="A2338" s="21" t="s">
        <v>2428</v>
      </c>
      <c r="B2338" s="22" t="s">
        <v>56</v>
      </c>
      <c r="C2338" s="22" t="s">
        <v>124</v>
      </c>
      <c r="D2338" s="23">
        <v>1</v>
      </c>
      <c r="E2338" s="24">
        <f>SUM($D$2:D2338)/SUM($D$2:$D$2846)</f>
        <v>0.95683942225998297</v>
      </c>
      <c r="F2338" s="22" t="s">
        <v>53</v>
      </c>
      <c r="G2338" s="25" t="s">
        <v>125</v>
      </c>
    </row>
    <row r="2339" spans="1:7">
      <c r="A2339" s="21" t="s">
        <v>2429</v>
      </c>
      <c r="B2339" s="22" t="s">
        <v>56</v>
      </c>
      <c r="C2339" s="22" t="s">
        <v>124</v>
      </c>
      <c r="D2339" s="23">
        <v>1</v>
      </c>
      <c r="E2339" s="24">
        <f>SUM($D$2:D2339)/SUM($D$2:$D$2846)</f>
        <v>0.95692438402718771</v>
      </c>
      <c r="F2339" s="22" t="s">
        <v>53</v>
      </c>
      <c r="G2339" s="25" t="s">
        <v>125</v>
      </c>
    </row>
    <row r="2340" spans="1:7">
      <c r="A2340" s="21" t="s">
        <v>2430</v>
      </c>
      <c r="B2340" s="22" t="s">
        <v>56</v>
      </c>
      <c r="C2340" s="22" t="s">
        <v>124</v>
      </c>
      <c r="D2340" s="23">
        <v>1</v>
      </c>
      <c r="E2340" s="24">
        <f>SUM($D$2:D2340)/SUM($D$2:$D$2846)</f>
        <v>0.95700934579439256</v>
      </c>
      <c r="F2340" s="22" t="s">
        <v>53</v>
      </c>
      <c r="G2340" s="25" t="s">
        <v>125</v>
      </c>
    </row>
    <row r="2341" spans="1:7">
      <c r="A2341" s="21" t="s">
        <v>2431</v>
      </c>
      <c r="B2341" s="22" t="s">
        <v>56</v>
      </c>
      <c r="C2341" s="22" t="s">
        <v>124</v>
      </c>
      <c r="D2341" s="23">
        <v>1</v>
      </c>
      <c r="E2341" s="24">
        <f>SUM($D$2:D2341)/SUM($D$2:$D$2846)</f>
        <v>0.9570943075615973</v>
      </c>
      <c r="F2341" s="22" t="s">
        <v>53</v>
      </c>
      <c r="G2341" s="25" t="s">
        <v>125</v>
      </c>
    </row>
    <row r="2342" spans="1:7">
      <c r="A2342" s="21" t="s">
        <v>2432</v>
      </c>
      <c r="B2342" s="22" t="s">
        <v>56</v>
      </c>
      <c r="C2342" s="22" t="s">
        <v>124</v>
      </c>
      <c r="D2342" s="23">
        <v>1</v>
      </c>
      <c r="E2342" s="24">
        <f>SUM($D$2:D2342)/SUM($D$2:$D$2846)</f>
        <v>0.95717926932880204</v>
      </c>
      <c r="F2342" s="22" t="s">
        <v>53</v>
      </c>
      <c r="G2342" s="25" t="s">
        <v>125</v>
      </c>
    </row>
    <row r="2343" spans="1:7">
      <c r="A2343" s="21" t="s">
        <v>2433</v>
      </c>
      <c r="B2343" s="22" t="s">
        <v>56</v>
      </c>
      <c r="C2343" s="22" t="s">
        <v>124</v>
      </c>
      <c r="D2343" s="23">
        <v>1</v>
      </c>
      <c r="E2343" s="24">
        <f>SUM($D$2:D2343)/SUM($D$2:$D$2846)</f>
        <v>0.95726423109600678</v>
      </c>
      <c r="F2343" s="22" t="s">
        <v>53</v>
      </c>
      <c r="G2343" s="25" t="s">
        <v>125</v>
      </c>
    </row>
    <row r="2344" spans="1:7">
      <c r="A2344" s="21" t="s">
        <v>2434</v>
      </c>
      <c r="B2344" s="22" t="s">
        <v>56</v>
      </c>
      <c r="C2344" s="22" t="s">
        <v>124</v>
      </c>
      <c r="D2344" s="23">
        <v>1</v>
      </c>
      <c r="E2344" s="24">
        <f>SUM($D$2:D2344)/SUM($D$2:$D$2846)</f>
        <v>0.95734919286321152</v>
      </c>
      <c r="F2344" s="22" t="s">
        <v>53</v>
      </c>
      <c r="G2344" s="25" t="s">
        <v>125</v>
      </c>
    </row>
    <row r="2345" spans="1:7">
      <c r="A2345" s="21" t="s">
        <v>2435</v>
      </c>
      <c r="B2345" s="22" t="s">
        <v>56</v>
      </c>
      <c r="C2345" s="22" t="s">
        <v>124</v>
      </c>
      <c r="D2345" s="23">
        <v>1</v>
      </c>
      <c r="E2345" s="24">
        <f>SUM($D$2:D2345)/SUM($D$2:$D$2846)</f>
        <v>0.95743415463041637</v>
      </c>
      <c r="F2345" s="22" t="s">
        <v>53</v>
      </c>
      <c r="G2345" s="25" t="s">
        <v>125</v>
      </c>
    </row>
    <row r="2346" spans="1:7">
      <c r="A2346" s="21" t="s">
        <v>2436</v>
      </c>
      <c r="B2346" s="22" t="s">
        <v>56</v>
      </c>
      <c r="C2346" s="22" t="s">
        <v>124</v>
      </c>
      <c r="D2346" s="23">
        <v>1</v>
      </c>
      <c r="E2346" s="24">
        <f>SUM($D$2:D2346)/SUM($D$2:$D$2846)</f>
        <v>0.95751911639762111</v>
      </c>
      <c r="F2346" s="22" t="s">
        <v>53</v>
      </c>
      <c r="G2346" s="25" t="s">
        <v>125</v>
      </c>
    </row>
    <row r="2347" spans="1:7">
      <c r="A2347" s="21" t="s">
        <v>2437</v>
      </c>
      <c r="B2347" s="26" t="s">
        <v>163</v>
      </c>
      <c r="C2347" s="22" t="s">
        <v>45</v>
      </c>
      <c r="D2347" s="23">
        <v>1</v>
      </c>
      <c r="E2347" s="24">
        <f>SUM($D$2:D2347)/SUM($D$2:$D$2846)</f>
        <v>0.95760407816482584</v>
      </c>
      <c r="F2347" s="22" t="s">
        <v>53</v>
      </c>
      <c r="G2347" s="25" t="s">
        <v>164</v>
      </c>
    </row>
    <row r="2348" spans="1:7">
      <c r="A2348" s="21" t="s">
        <v>2438</v>
      </c>
      <c r="B2348" s="26" t="s">
        <v>163</v>
      </c>
      <c r="C2348" s="22" t="s">
        <v>45</v>
      </c>
      <c r="D2348" s="23">
        <v>1</v>
      </c>
      <c r="E2348" s="24">
        <f>SUM($D$2:D2348)/SUM($D$2:$D$2846)</f>
        <v>0.95768903993203058</v>
      </c>
      <c r="F2348" s="22" t="s">
        <v>53</v>
      </c>
      <c r="G2348" s="25" t="s">
        <v>164</v>
      </c>
    </row>
    <row r="2349" spans="1:7">
      <c r="A2349" s="21" t="s">
        <v>2439</v>
      </c>
      <c r="B2349" s="26" t="s">
        <v>163</v>
      </c>
      <c r="C2349" s="22" t="s">
        <v>45</v>
      </c>
      <c r="D2349" s="23">
        <v>1</v>
      </c>
      <c r="E2349" s="24">
        <f>SUM($D$2:D2349)/SUM($D$2:$D$2846)</f>
        <v>0.95777400169923532</v>
      </c>
      <c r="F2349" s="22" t="s">
        <v>53</v>
      </c>
      <c r="G2349" s="25" t="s">
        <v>164</v>
      </c>
    </row>
    <row r="2350" spans="1:7">
      <c r="A2350" s="21" t="s">
        <v>102</v>
      </c>
      <c r="B2350" s="26" t="s">
        <v>56</v>
      </c>
      <c r="C2350" s="22" t="s">
        <v>73</v>
      </c>
      <c r="D2350" s="23">
        <v>1</v>
      </c>
      <c r="E2350" s="24">
        <f>SUM($D$2:D2350)/SUM($D$2:$D$2846)</f>
        <v>0.95785896346644006</v>
      </c>
      <c r="F2350" s="22" t="s">
        <v>53</v>
      </c>
      <c r="G2350" s="25" t="s">
        <v>74</v>
      </c>
    </row>
    <row r="2351" spans="1:7">
      <c r="A2351" s="21" t="s">
        <v>103</v>
      </c>
      <c r="B2351" s="26" t="s">
        <v>56</v>
      </c>
      <c r="C2351" s="22" t="s">
        <v>73</v>
      </c>
      <c r="D2351" s="23">
        <v>1</v>
      </c>
      <c r="E2351" s="24">
        <f>SUM($D$2:D2351)/SUM($D$2:$D$2846)</f>
        <v>0.95794392523364491</v>
      </c>
      <c r="F2351" s="22" t="s">
        <v>53</v>
      </c>
      <c r="G2351" s="25" t="s">
        <v>74</v>
      </c>
    </row>
    <row r="2352" spans="1:7">
      <c r="A2352" s="21" t="s">
        <v>2440</v>
      </c>
      <c r="B2352" s="22" t="s">
        <v>56</v>
      </c>
      <c r="C2352" s="22" t="s">
        <v>124</v>
      </c>
      <c r="D2352" s="23">
        <v>1</v>
      </c>
      <c r="E2352" s="24">
        <f>SUM($D$2:D2352)/SUM($D$2:$D$2846)</f>
        <v>0.95802888700084965</v>
      </c>
      <c r="F2352" s="22" t="s">
        <v>53</v>
      </c>
      <c r="G2352" s="25" t="s">
        <v>125</v>
      </c>
    </row>
    <row r="2353" spans="1:7">
      <c r="A2353" s="21" t="s">
        <v>2441</v>
      </c>
      <c r="B2353" s="22" t="s">
        <v>56</v>
      </c>
      <c r="C2353" s="22" t="s">
        <v>124</v>
      </c>
      <c r="D2353" s="23">
        <v>1</v>
      </c>
      <c r="E2353" s="24">
        <f>SUM($D$2:D2353)/SUM($D$2:$D$2846)</f>
        <v>0.95811384876805439</v>
      </c>
      <c r="F2353" s="22" t="s">
        <v>53</v>
      </c>
      <c r="G2353" s="25" t="s">
        <v>125</v>
      </c>
    </row>
    <row r="2354" spans="1:7">
      <c r="A2354" s="21" t="s">
        <v>2442</v>
      </c>
      <c r="B2354" s="22" t="s">
        <v>56</v>
      </c>
      <c r="C2354" s="22" t="s">
        <v>124</v>
      </c>
      <c r="D2354" s="23">
        <v>1</v>
      </c>
      <c r="E2354" s="24">
        <f>SUM($D$2:D2354)/SUM($D$2:$D$2846)</f>
        <v>0.95819881053525913</v>
      </c>
      <c r="F2354" s="22" t="s">
        <v>53</v>
      </c>
      <c r="G2354" s="25" t="s">
        <v>125</v>
      </c>
    </row>
    <row r="2355" spans="1:7">
      <c r="A2355" s="21" t="s">
        <v>2443</v>
      </c>
      <c r="B2355" s="22" t="s">
        <v>56</v>
      </c>
      <c r="C2355" s="22" t="s">
        <v>124</v>
      </c>
      <c r="D2355" s="23">
        <v>1</v>
      </c>
      <c r="E2355" s="24">
        <f>SUM($D$2:D2355)/SUM($D$2:$D$2846)</f>
        <v>0.95828377230246387</v>
      </c>
      <c r="F2355" s="22" t="s">
        <v>53</v>
      </c>
      <c r="G2355" s="25" t="s">
        <v>125</v>
      </c>
    </row>
    <row r="2356" spans="1:7">
      <c r="A2356" s="21" t="s">
        <v>2444</v>
      </c>
      <c r="B2356" s="26" t="s">
        <v>163</v>
      </c>
      <c r="C2356" s="22" t="s">
        <v>45</v>
      </c>
      <c r="D2356" s="23">
        <v>1</v>
      </c>
      <c r="E2356" s="24">
        <f>SUM($D$2:D2356)/SUM($D$2:$D$2846)</f>
        <v>0.9583687340696686</v>
      </c>
      <c r="F2356" s="22" t="s">
        <v>53</v>
      </c>
      <c r="G2356" s="25" t="s">
        <v>164</v>
      </c>
    </row>
    <row r="2357" spans="1:7">
      <c r="A2357" s="21" t="s">
        <v>2445</v>
      </c>
      <c r="B2357" s="22" t="s">
        <v>56</v>
      </c>
      <c r="C2357" s="22" t="s">
        <v>124</v>
      </c>
      <c r="D2357" s="23">
        <v>1</v>
      </c>
      <c r="E2357" s="24">
        <f>SUM($D$2:D2357)/SUM($D$2:$D$2846)</f>
        <v>0.95845369583687345</v>
      </c>
      <c r="F2357" s="22" t="s">
        <v>53</v>
      </c>
      <c r="G2357" s="25" t="s">
        <v>125</v>
      </c>
    </row>
    <row r="2358" spans="1:7">
      <c r="A2358" s="21" t="s">
        <v>2446</v>
      </c>
      <c r="B2358" s="22" t="s">
        <v>56</v>
      </c>
      <c r="C2358" s="22" t="s">
        <v>124</v>
      </c>
      <c r="D2358" s="23">
        <v>1</v>
      </c>
      <c r="E2358" s="24">
        <f>SUM($D$2:D2358)/SUM($D$2:$D$2846)</f>
        <v>0.95853865760407819</v>
      </c>
      <c r="F2358" s="22" t="s">
        <v>53</v>
      </c>
      <c r="G2358" s="25" t="s">
        <v>125</v>
      </c>
    </row>
    <row r="2359" spans="1:7">
      <c r="A2359" s="21" t="s">
        <v>2447</v>
      </c>
      <c r="B2359" s="22" t="s">
        <v>56</v>
      </c>
      <c r="C2359" s="22" t="s">
        <v>124</v>
      </c>
      <c r="D2359" s="23">
        <v>1</v>
      </c>
      <c r="E2359" s="24">
        <f>SUM($D$2:D2359)/SUM($D$2:$D$2846)</f>
        <v>0.95862361937128293</v>
      </c>
      <c r="F2359" s="22" t="s">
        <v>53</v>
      </c>
      <c r="G2359" s="25" t="s">
        <v>125</v>
      </c>
    </row>
    <row r="2360" spans="1:7">
      <c r="A2360" s="21" t="s">
        <v>2448</v>
      </c>
      <c r="B2360" s="22" t="s">
        <v>56</v>
      </c>
      <c r="C2360" s="22" t="s">
        <v>124</v>
      </c>
      <c r="D2360" s="23">
        <v>1</v>
      </c>
      <c r="E2360" s="24">
        <f>SUM($D$2:D2360)/SUM($D$2:$D$2846)</f>
        <v>0.95870858113848767</v>
      </c>
      <c r="F2360" s="22" t="s">
        <v>53</v>
      </c>
      <c r="G2360" s="25" t="s">
        <v>125</v>
      </c>
    </row>
    <row r="2361" spans="1:7">
      <c r="A2361" s="21" t="s">
        <v>2449</v>
      </c>
      <c r="B2361" s="22" t="s">
        <v>56</v>
      </c>
      <c r="C2361" s="22" t="s">
        <v>124</v>
      </c>
      <c r="D2361" s="23">
        <v>1</v>
      </c>
      <c r="E2361" s="24">
        <f>SUM($D$2:D2361)/SUM($D$2:$D$2846)</f>
        <v>0.95879354290569241</v>
      </c>
      <c r="F2361" s="22" t="s">
        <v>53</v>
      </c>
      <c r="G2361" s="25" t="s">
        <v>125</v>
      </c>
    </row>
    <row r="2362" spans="1:7">
      <c r="A2362" s="21" t="s">
        <v>2450</v>
      </c>
      <c r="B2362" s="26" t="s">
        <v>163</v>
      </c>
      <c r="C2362" s="22" t="s">
        <v>45</v>
      </c>
      <c r="D2362" s="23">
        <v>1</v>
      </c>
      <c r="E2362" s="24">
        <f>SUM($D$2:D2362)/SUM($D$2:$D$2846)</f>
        <v>0.95887850467289715</v>
      </c>
      <c r="F2362" s="22" t="s">
        <v>53</v>
      </c>
      <c r="G2362" s="25" t="s">
        <v>164</v>
      </c>
    </row>
    <row r="2363" spans="1:7">
      <c r="A2363" s="21" t="s">
        <v>2451</v>
      </c>
      <c r="B2363" s="22" t="s">
        <v>56</v>
      </c>
      <c r="C2363" s="22" t="s">
        <v>124</v>
      </c>
      <c r="D2363" s="23">
        <v>1</v>
      </c>
      <c r="E2363" s="24">
        <f>SUM($D$2:D2363)/SUM($D$2:$D$2846)</f>
        <v>0.958963466440102</v>
      </c>
      <c r="F2363" s="22" t="s">
        <v>53</v>
      </c>
      <c r="G2363" s="25" t="s">
        <v>125</v>
      </c>
    </row>
    <row r="2364" spans="1:7">
      <c r="A2364" s="21" t="s">
        <v>2452</v>
      </c>
      <c r="B2364" s="26" t="s">
        <v>163</v>
      </c>
      <c r="C2364" s="22" t="s">
        <v>45</v>
      </c>
      <c r="D2364" s="23">
        <v>1</v>
      </c>
      <c r="E2364" s="24">
        <f>SUM($D$2:D2364)/SUM($D$2:$D$2846)</f>
        <v>0.95904842820730674</v>
      </c>
      <c r="F2364" s="22" t="s">
        <v>53</v>
      </c>
      <c r="G2364" s="25" t="s">
        <v>164</v>
      </c>
    </row>
    <row r="2365" spans="1:7">
      <c r="A2365" s="21" t="s">
        <v>2453</v>
      </c>
      <c r="B2365" s="22" t="s">
        <v>56</v>
      </c>
      <c r="C2365" s="22" t="s">
        <v>124</v>
      </c>
      <c r="D2365" s="23">
        <v>1</v>
      </c>
      <c r="E2365" s="24">
        <f>SUM($D$2:D2365)/SUM($D$2:$D$2846)</f>
        <v>0.95913338997451147</v>
      </c>
      <c r="F2365" s="22" t="s">
        <v>53</v>
      </c>
      <c r="G2365" s="25" t="s">
        <v>125</v>
      </c>
    </row>
    <row r="2366" spans="1:7">
      <c r="A2366" s="21" t="s">
        <v>2454</v>
      </c>
      <c r="B2366" s="22" t="s">
        <v>56</v>
      </c>
      <c r="C2366" s="22" t="s">
        <v>124</v>
      </c>
      <c r="D2366" s="23">
        <v>1</v>
      </c>
      <c r="E2366" s="24">
        <f>SUM($D$2:D2366)/SUM($D$2:$D$2846)</f>
        <v>0.95921835174171621</v>
      </c>
      <c r="F2366" s="22" t="s">
        <v>53</v>
      </c>
      <c r="G2366" s="25" t="s">
        <v>125</v>
      </c>
    </row>
    <row r="2367" spans="1:7">
      <c r="A2367" s="21" t="s">
        <v>2455</v>
      </c>
      <c r="B2367" s="22" t="s">
        <v>56</v>
      </c>
      <c r="C2367" s="22" t="s">
        <v>124</v>
      </c>
      <c r="D2367" s="23">
        <v>1</v>
      </c>
      <c r="E2367" s="24">
        <f>SUM($D$2:D2367)/SUM($D$2:$D$2846)</f>
        <v>0.95930331350892095</v>
      </c>
      <c r="F2367" s="22" t="s">
        <v>53</v>
      </c>
      <c r="G2367" s="25" t="s">
        <v>125</v>
      </c>
    </row>
    <row r="2368" spans="1:7">
      <c r="A2368" s="21" t="s">
        <v>2456</v>
      </c>
      <c r="B2368" s="22" t="s">
        <v>56</v>
      </c>
      <c r="C2368" s="22" t="s">
        <v>124</v>
      </c>
      <c r="D2368" s="23">
        <v>1</v>
      </c>
      <c r="E2368" s="24">
        <f>SUM($D$2:D2368)/SUM($D$2:$D$2846)</f>
        <v>0.95938827527612569</v>
      </c>
      <c r="F2368" s="22" t="s">
        <v>53</v>
      </c>
      <c r="G2368" s="25" t="s">
        <v>125</v>
      </c>
    </row>
    <row r="2369" spans="1:7">
      <c r="A2369" s="21" t="s">
        <v>2457</v>
      </c>
      <c r="B2369" s="26" t="s">
        <v>163</v>
      </c>
      <c r="C2369" s="22" t="s">
        <v>45</v>
      </c>
      <c r="D2369" s="23">
        <v>1</v>
      </c>
      <c r="E2369" s="24">
        <f>SUM($D$2:D2369)/SUM($D$2:$D$2846)</f>
        <v>0.95947323704333054</v>
      </c>
      <c r="F2369" s="22" t="s">
        <v>53</v>
      </c>
      <c r="G2369" s="25" t="s">
        <v>164</v>
      </c>
    </row>
    <row r="2370" spans="1:7">
      <c r="A2370" s="21" t="s">
        <v>2458</v>
      </c>
      <c r="B2370" s="26" t="s">
        <v>163</v>
      </c>
      <c r="C2370" s="22" t="s">
        <v>45</v>
      </c>
      <c r="D2370" s="23">
        <v>1</v>
      </c>
      <c r="E2370" s="24">
        <f>SUM($D$2:D2370)/SUM($D$2:$D$2846)</f>
        <v>0.95955819881053528</v>
      </c>
      <c r="F2370" s="22" t="s">
        <v>53</v>
      </c>
      <c r="G2370" s="25" t="s">
        <v>164</v>
      </c>
    </row>
    <row r="2371" spans="1:7">
      <c r="A2371" s="21" t="s">
        <v>2459</v>
      </c>
      <c r="B2371" s="22" t="s">
        <v>56</v>
      </c>
      <c r="C2371" s="22" t="s">
        <v>124</v>
      </c>
      <c r="D2371" s="23">
        <v>1</v>
      </c>
      <c r="E2371" s="24">
        <f>SUM($D$2:D2371)/SUM($D$2:$D$2846)</f>
        <v>0.95964316057774002</v>
      </c>
      <c r="F2371" s="22" t="s">
        <v>53</v>
      </c>
      <c r="G2371" s="25" t="s">
        <v>125</v>
      </c>
    </row>
    <row r="2372" spans="1:7">
      <c r="A2372" s="21" t="s">
        <v>2460</v>
      </c>
      <c r="B2372" s="26" t="s">
        <v>163</v>
      </c>
      <c r="C2372" s="22" t="s">
        <v>45</v>
      </c>
      <c r="D2372" s="23">
        <v>1</v>
      </c>
      <c r="E2372" s="24">
        <f>SUM($D$2:D2372)/SUM($D$2:$D$2846)</f>
        <v>0.95972812234494476</v>
      </c>
      <c r="F2372" s="22" t="s">
        <v>53</v>
      </c>
      <c r="G2372" s="25" t="s">
        <v>164</v>
      </c>
    </row>
    <row r="2373" spans="1:7">
      <c r="A2373" s="21" t="s">
        <v>2461</v>
      </c>
      <c r="B2373" s="26" t="s">
        <v>163</v>
      </c>
      <c r="C2373" s="22" t="s">
        <v>45</v>
      </c>
      <c r="D2373" s="23">
        <v>1</v>
      </c>
      <c r="E2373" s="24">
        <f>SUM($D$2:D2373)/SUM($D$2:$D$2846)</f>
        <v>0.95981308411214949</v>
      </c>
      <c r="F2373" s="22" t="s">
        <v>53</v>
      </c>
      <c r="G2373" s="25" t="s">
        <v>164</v>
      </c>
    </row>
    <row r="2374" spans="1:7">
      <c r="A2374" s="21" t="s">
        <v>2462</v>
      </c>
      <c r="B2374" s="22" t="s">
        <v>56</v>
      </c>
      <c r="C2374" s="22" t="s">
        <v>124</v>
      </c>
      <c r="D2374" s="23">
        <v>1</v>
      </c>
      <c r="E2374" s="24">
        <f>SUM($D$2:D2374)/SUM($D$2:$D$2846)</f>
        <v>0.95989804587935434</v>
      </c>
      <c r="F2374" s="22" t="s">
        <v>53</v>
      </c>
      <c r="G2374" s="25" t="s">
        <v>125</v>
      </c>
    </row>
    <row r="2375" spans="1:7">
      <c r="A2375" s="21" t="s">
        <v>2463</v>
      </c>
      <c r="B2375" s="22" t="s">
        <v>56</v>
      </c>
      <c r="C2375" s="22" t="s">
        <v>124</v>
      </c>
      <c r="D2375" s="23">
        <v>1</v>
      </c>
      <c r="E2375" s="24">
        <f>SUM($D$2:D2375)/SUM($D$2:$D$2846)</f>
        <v>0.95998300764655908</v>
      </c>
      <c r="F2375" s="22" t="s">
        <v>53</v>
      </c>
      <c r="G2375" s="25" t="s">
        <v>125</v>
      </c>
    </row>
    <row r="2376" spans="1:7">
      <c r="A2376" s="21" t="s">
        <v>2464</v>
      </c>
      <c r="B2376" s="26" t="s">
        <v>163</v>
      </c>
      <c r="C2376" s="22" t="s">
        <v>45</v>
      </c>
      <c r="D2376" s="23">
        <v>1</v>
      </c>
      <c r="E2376" s="24">
        <f>SUM($D$2:D2376)/SUM($D$2:$D$2846)</f>
        <v>0.96006796941376382</v>
      </c>
      <c r="F2376" s="22" t="s">
        <v>53</v>
      </c>
      <c r="G2376" s="25" t="s">
        <v>164</v>
      </c>
    </row>
    <row r="2377" spans="1:7">
      <c r="A2377" s="21" t="s">
        <v>2465</v>
      </c>
      <c r="B2377" s="22" t="s">
        <v>56</v>
      </c>
      <c r="C2377" s="22" t="s">
        <v>124</v>
      </c>
      <c r="D2377" s="23">
        <v>1</v>
      </c>
      <c r="E2377" s="24">
        <f>SUM($D$2:D2377)/SUM($D$2:$D$2846)</f>
        <v>0.96015293118096856</v>
      </c>
      <c r="F2377" s="22" t="s">
        <v>53</v>
      </c>
      <c r="G2377" s="25" t="s">
        <v>125</v>
      </c>
    </row>
    <row r="2378" spans="1:7">
      <c r="A2378" s="21" t="s">
        <v>2466</v>
      </c>
      <c r="B2378" s="26" t="s">
        <v>163</v>
      </c>
      <c r="C2378" s="22" t="s">
        <v>45</v>
      </c>
      <c r="D2378" s="23">
        <v>1</v>
      </c>
      <c r="E2378" s="24">
        <f>SUM($D$2:D2378)/SUM($D$2:$D$2846)</f>
        <v>0.9602378929481733</v>
      </c>
      <c r="F2378" s="22" t="s">
        <v>53</v>
      </c>
      <c r="G2378" s="25" t="s">
        <v>164</v>
      </c>
    </row>
    <row r="2379" spans="1:7">
      <c r="A2379" s="21" t="s">
        <v>104</v>
      </c>
      <c r="B2379" s="26" t="s">
        <v>163</v>
      </c>
      <c r="C2379" s="22" t="s">
        <v>73</v>
      </c>
      <c r="D2379" s="23">
        <v>1</v>
      </c>
      <c r="E2379" s="24">
        <f>SUM($D$2:D2379)/SUM($D$2:$D$2846)</f>
        <v>0.96032285471537804</v>
      </c>
      <c r="F2379" s="22" t="s">
        <v>53</v>
      </c>
      <c r="G2379" s="25" t="s">
        <v>74</v>
      </c>
    </row>
    <row r="2380" spans="1:7">
      <c r="A2380" s="21" t="s">
        <v>2467</v>
      </c>
      <c r="B2380" s="26" t="s">
        <v>163</v>
      </c>
      <c r="C2380" s="22" t="s">
        <v>45</v>
      </c>
      <c r="D2380" s="23">
        <v>1</v>
      </c>
      <c r="E2380" s="24">
        <f>SUM($D$2:D2380)/SUM($D$2:$D$2846)</f>
        <v>0.96040781648258289</v>
      </c>
      <c r="F2380" s="22" t="s">
        <v>53</v>
      </c>
      <c r="G2380" s="25" t="s">
        <v>164</v>
      </c>
    </row>
    <row r="2381" spans="1:7">
      <c r="A2381" s="21" t="s">
        <v>2468</v>
      </c>
      <c r="B2381" s="22" t="s">
        <v>56</v>
      </c>
      <c r="C2381" s="22" t="s">
        <v>124</v>
      </c>
      <c r="D2381" s="23">
        <v>1</v>
      </c>
      <c r="E2381" s="24">
        <f>SUM($D$2:D2381)/SUM($D$2:$D$2846)</f>
        <v>0.96049277824978763</v>
      </c>
      <c r="F2381" s="22" t="s">
        <v>53</v>
      </c>
      <c r="G2381" s="25" t="s">
        <v>125</v>
      </c>
    </row>
    <row r="2382" spans="1:7">
      <c r="A2382" s="21" t="s">
        <v>2469</v>
      </c>
      <c r="B2382" s="22" t="s">
        <v>56</v>
      </c>
      <c r="C2382" s="22" t="s">
        <v>124</v>
      </c>
      <c r="D2382" s="23">
        <v>1</v>
      </c>
      <c r="E2382" s="24">
        <f>SUM($D$2:D2382)/SUM($D$2:$D$2846)</f>
        <v>0.96057774001699237</v>
      </c>
      <c r="F2382" s="22" t="s">
        <v>53</v>
      </c>
      <c r="G2382" s="25" t="s">
        <v>125</v>
      </c>
    </row>
    <row r="2383" spans="1:7">
      <c r="A2383" s="21" t="s">
        <v>2470</v>
      </c>
      <c r="B2383" s="22" t="s">
        <v>56</v>
      </c>
      <c r="C2383" s="22" t="s">
        <v>124</v>
      </c>
      <c r="D2383" s="23">
        <v>1</v>
      </c>
      <c r="E2383" s="24">
        <f>SUM($D$2:D2383)/SUM($D$2:$D$2846)</f>
        <v>0.9606627017841971</v>
      </c>
      <c r="F2383" s="22" t="s">
        <v>53</v>
      </c>
      <c r="G2383" s="25" t="s">
        <v>125</v>
      </c>
    </row>
    <row r="2384" spans="1:7">
      <c r="A2384" s="21" t="s">
        <v>2471</v>
      </c>
      <c r="B2384" s="26" t="s">
        <v>163</v>
      </c>
      <c r="C2384" s="22" t="s">
        <v>45</v>
      </c>
      <c r="D2384" s="23">
        <v>1</v>
      </c>
      <c r="E2384" s="24">
        <f>SUM($D$2:D2384)/SUM($D$2:$D$2846)</f>
        <v>0.96074766355140184</v>
      </c>
      <c r="F2384" s="22" t="s">
        <v>53</v>
      </c>
      <c r="G2384" s="25" t="s">
        <v>164</v>
      </c>
    </row>
    <row r="2385" spans="1:7">
      <c r="A2385" s="21" t="s">
        <v>2472</v>
      </c>
      <c r="B2385" s="26" t="s">
        <v>163</v>
      </c>
      <c r="C2385" s="22" t="s">
        <v>45</v>
      </c>
      <c r="D2385" s="23">
        <v>1</v>
      </c>
      <c r="E2385" s="24">
        <f>SUM($D$2:D2385)/SUM($D$2:$D$2846)</f>
        <v>0.96083262531860658</v>
      </c>
      <c r="F2385" s="22" t="s">
        <v>53</v>
      </c>
      <c r="G2385" s="25" t="s">
        <v>164</v>
      </c>
    </row>
    <row r="2386" spans="1:7">
      <c r="A2386" s="21" t="s">
        <v>2473</v>
      </c>
      <c r="B2386" s="22" t="s">
        <v>56</v>
      </c>
      <c r="C2386" s="22" t="s">
        <v>124</v>
      </c>
      <c r="D2386" s="23">
        <v>1</v>
      </c>
      <c r="E2386" s="24">
        <f>SUM($D$2:D2386)/SUM($D$2:$D$2846)</f>
        <v>0.96091758708581143</v>
      </c>
      <c r="F2386" s="22" t="s">
        <v>53</v>
      </c>
      <c r="G2386" s="25" t="s">
        <v>125</v>
      </c>
    </row>
    <row r="2387" spans="1:7">
      <c r="A2387" s="21" t="s">
        <v>2474</v>
      </c>
      <c r="B2387" s="22" t="s">
        <v>56</v>
      </c>
      <c r="C2387" s="22" t="s">
        <v>124</v>
      </c>
      <c r="D2387" s="23">
        <v>1</v>
      </c>
      <c r="E2387" s="24">
        <f>SUM($D$2:D2387)/SUM($D$2:$D$2846)</f>
        <v>0.96100254885301617</v>
      </c>
      <c r="F2387" s="22" t="s">
        <v>53</v>
      </c>
      <c r="G2387" s="25" t="s">
        <v>125</v>
      </c>
    </row>
    <row r="2388" spans="1:7">
      <c r="A2388" s="21" t="s">
        <v>2475</v>
      </c>
      <c r="B2388" s="22" t="s">
        <v>56</v>
      </c>
      <c r="C2388" s="22" t="s">
        <v>124</v>
      </c>
      <c r="D2388" s="23">
        <v>1</v>
      </c>
      <c r="E2388" s="24">
        <f>SUM($D$2:D2388)/SUM($D$2:$D$2846)</f>
        <v>0.96108751062022091</v>
      </c>
      <c r="F2388" s="22" t="s">
        <v>53</v>
      </c>
      <c r="G2388" s="25" t="s">
        <v>125</v>
      </c>
    </row>
    <row r="2389" spans="1:7">
      <c r="A2389" s="21" t="s">
        <v>2476</v>
      </c>
      <c r="B2389" s="26" t="s">
        <v>163</v>
      </c>
      <c r="C2389" s="22" t="s">
        <v>45</v>
      </c>
      <c r="D2389" s="23">
        <v>1</v>
      </c>
      <c r="E2389" s="24">
        <f>SUM($D$2:D2389)/SUM($D$2:$D$2846)</f>
        <v>0.96117247238742565</v>
      </c>
      <c r="F2389" s="22" t="s">
        <v>53</v>
      </c>
      <c r="G2389" s="25" t="s">
        <v>164</v>
      </c>
    </row>
    <row r="2390" spans="1:7">
      <c r="A2390" s="21" t="s">
        <v>2477</v>
      </c>
      <c r="B2390" s="26" t="s">
        <v>163</v>
      </c>
      <c r="C2390" s="22" t="s">
        <v>45</v>
      </c>
      <c r="D2390" s="23">
        <v>1</v>
      </c>
      <c r="E2390" s="24">
        <f>SUM($D$2:D2390)/SUM($D$2:$D$2846)</f>
        <v>0.96125743415463039</v>
      </c>
      <c r="F2390" s="22" t="s">
        <v>53</v>
      </c>
      <c r="G2390" s="25" t="s">
        <v>164</v>
      </c>
    </row>
    <row r="2391" spans="1:7">
      <c r="A2391" s="21" t="s">
        <v>2478</v>
      </c>
      <c r="B2391" s="26" t="s">
        <v>163</v>
      </c>
      <c r="C2391" s="22" t="s">
        <v>45</v>
      </c>
      <c r="D2391" s="23">
        <v>1</v>
      </c>
      <c r="E2391" s="24">
        <f>SUM($D$2:D2391)/SUM($D$2:$D$2846)</f>
        <v>0.96134239592183512</v>
      </c>
      <c r="F2391" s="22" t="s">
        <v>53</v>
      </c>
      <c r="G2391" s="25" t="s">
        <v>164</v>
      </c>
    </row>
    <row r="2392" spans="1:7">
      <c r="A2392" s="21" t="s">
        <v>2479</v>
      </c>
      <c r="B2392" s="26" t="s">
        <v>163</v>
      </c>
      <c r="C2392" s="22" t="s">
        <v>45</v>
      </c>
      <c r="D2392" s="23">
        <v>1</v>
      </c>
      <c r="E2392" s="24">
        <f>SUM($D$2:D2392)/SUM($D$2:$D$2846)</f>
        <v>0.96142735768903997</v>
      </c>
      <c r="F2392" s="22" t="s">
        <v>53</v>
      </c>
      <c r="G2392" s="25" t="s">
        <v>164</v>
      </c>
    </row>
    <row r="2393" spans="1:7">
      <c r="A2393" s="21" t="s">
        <v>2480</v>
      </c>
      <c r="B2393" s="22" t="s">
        <v>56</v>
      </c>
      <c r="C2393" s="22" t="s">
        <v>124</v>
      </c>
      <c r="D2393" s="23">
        <v>1</v>
      </c>
      <c r="E2393" s="24">
        <f>SUM($D$2:D2393)/SUM($D$2:$D$2846)</f>
        <v>0.96151231945624471</v>
      </c>
      <c r="F2393" s="22" t="s">
        <v>53</v>
      </c>
      <c r="G2393" s="25" t="s">
        <v>125</v>
      </c>
    </row>
    <row r="2394" spans="1:7">
      <c r="A2394" s="21" t="s">
        <v>2481</v>
      </c>
      <c r="B2394" s="22" t="s">
        <v>56</v>
      </c>
      <c r="C2394" s="22" t="s">
        <v>124</v>
      </c>
      <c r="D2394" s="23">
        <v>1</v>
      </c>
      <c r="E2394" s="24">
        <f>SUM($D$2:D2394)/SUM($D$2:$D$2846)</f>
        <v>0.96159728122344945</v>
      </c>
      <c r="F2394" s="22" t="s">
        <v>53</v>
      </c>
      <c r="G2394" s="25" t="s">
        <v>125</v>
      </c>
    </row>
    <row r="2395" spans="1:7">
      <c r="A2395" s="21" t="s">
        <v>2482</v>
      </c>
      <c r="B2395" s="22" t="s">
        <v>56</v>
      </c>
      <c r="C2395" s="22" t="s">
        <v>124</v>
      </c>
      <c r="D2395" s="23">
        <v>1</v>
      </c>
      <c r="E2395" s="24">
        <f>SUM($D$2:D2395)/SUM($D$2:$D$2846)</f>
        <v>0.96168224299065419</v>
      </c>
      <c r="F2395" s="22" t="s">
        <v>53</v>
      </c>
      <c r="G2395" s="25" t="s">
        <v>125</v>
      </c>
    </row>
    <row r="2396" spans="1:7">
      <c r="A2396" s="21" t="s">
        <v>2483</v>
      </c>
      <c r="B2396" s="22" t="s">
        <v>56</v>
      </c>
      <c r="C2396" s="22" t="s">
        <v>124</v>
      </c>
      <c r="D2396" s="23">
        <v>1</v>
      </c>
      <c r="E2396" s="24">
        <f>SUM($D$2:D2396)/SUM($D$2:$D$2846)</f>
        <v>0.96176720475785893</v>
      </c>
      <c r="F2396" s="22" t="s">
        <v>53</v>
      </c>
      <c r="G2396" s="25" t="s">
        <v>125</v>
      </c>
    </row>
    <row r="2397" spans="1:7">
      <c r="A2397" s="21" t="s">
        <v>2484</v>
      </c>
      <c r="B2397" s="22" t="s">
        <v>56</v>
      </c>
      <c r="C2397" s="22" t="s">
        <v>124</v>
      </c>
      <c r="D2397" s="23">
        <v>1</v>
      </c>
      <c r="E2397" s="24">
        <f>SUM($D$2:D2397)/SUM($D$2:$D$2846)</f>
        <v>0.96185216652506367</v>
      </c>
      <c r="F2397" s="22" t="s">
        <v>53</v>
      </c>
      <c r="G2397" s="25" t="s">
        <v>125</v>
      </c>
    </row>
    <row r="2398" spans="1:7">
      <c r="A2398" s="21" t="s">
        <v>2485</v>
      </c>
      <c r="B2398" s="26" t="s">
        <v>163</v>
      </c>
      <c r="C2398" s="22" t="s">
        <v>45</v>
      </c>
      <c r="D2398" s="23">
        <v>1</v>
      </c>
      <c r="E2398" s="24">
        <f>SUM($D$2:D2398)/SUM($D$2:$D$2846)</f>
        <v>0.96193712829226852</v>
      </c>
      <c r="F2398" s="22" t="s">
        <v>53</v>
      </c>
      <c r="G2398" s="25" t="s">
        <v>164</v>
      </c>
    </row>
    <row r="2399" spans="1:7">
      <c r="A2399" s="21" t="s">
        <v>2486</v>
      </c>
      <c r="B2399" s="22" t="s">
        <v>56</v>
      </c>
      <c r="C2399" s="22" t="s">
        <v>124</v>
      </c>
      <c r="D2399" s="23">
        <v>1</v>
      </c>
      <c r="E2399" s="24">
        <f>SUM($D$2:D2399)/SUM($D$2:$D$2846)</f>
        <v>0.96202209005947326</v>
      </c>
      <c r="F2399" s="22" t="s">
        <v>53</v>
      </c>
      <c r="G2399" s="25" t="s">
        <v>125</v>
      </c>
    </row>
    <row r="2400" spans="1:7">
      <c r="A2400" s="21" t="s">
        <v>2487</v>
      </c>
      <c r="B2400" s="26" t="s">
        <v>163</v>
      </c>
      <c r="C2400" s="22" t="s">
        <v>45</v>
      </c>
      <c r="D2400" s="23">
        <v>1</v>
      </c>
      <c r="E2400" s="24">
        <f>SUM($D$2:D2400)/SUM($D$2:$D$2846)</f>
        <v>0.96210705182667799</v>
      </c>
      <c r="F2400" s="22" t="s">
        <v>53</v>
      </c>
      <c r="G2400" s="25" t="s">
        <v>164</v>
      </c>
    </row>
    <row r="2401" spans="1:7">
      <c r="A2401" s="21" t="s">
        <v>2488</v>
      </c>
      <c r="B2401" s="26" t="s">
        <v>163</v>
      </c>
      <c r="C2401" s="22" t="s">
        <v>45</v>
      </c>
      <c r="D2401" s="23">
        <v>1</v>
      </c>
      <c r="E2401" s="24">
        <f>SUM($D$2:D2401)/SUM($D$2:$D$2846)</f>
        <v>0.96219201359388273</v>
      </c>
      <c r="F2401" s="22" t="s">
        <v>53</v>
      </c>
      <c r="G2401" s="25" t="s">
        <v>164</v>
      </c>
    </row>
    <row r="2402" spans="1:7">
      <c r="A2402" s="21" t="s">
        <v>2489</v>
      </c>
      <c r="B2402" s="22" t="s">
        <v>56</v>
      </c>
      <c r="C2402" s="22" t="s">
        <v>124</v>
      </c>
      <c r="D2402" s="23">
        <v>1</v>
      </c>
      <c r="E2402" s="24">
        <f>SUM($D$2:D2402)/SUM($D$2:$D$2846)</f>
        <v>0.96227697536108747</v>
      </c>
      <c r="F2402" s="22" t="s">
        <v>53</v>
      </c>
      <c r="G2402" s="25" t="s">
        <v>125</v>
      </c>
    </row>
    <row r="2403" spans="1:7">
      <c r="A2403" s="21" t="s">
        <v>2490</v>
      </c>
      <c r="B2403" s="22" t="s">
        <v>56</v>
      </c>
      <c r="C2403" s="22" t="s">
        <v>124</v>
      </c>
      <c r="D2403" s="23">
        <v>1</v>
      </c>
      <c r="E2403" s="24">
        <f>SUM($D$2:D2403)/SUM($D$2:$D$2846)</f>
        <v>0.96236193712829232</v>
      </c>
      <c r="F2403" s="22" t="s">
        <v>53</v>
      </c>
      <c r="G2403" s="25" t="s">
        <v>125</v>
      </c>
    </row>
    <row r="2404" spans="1:7">
      <c r="A2404" s="21" t="s">
        <v>2491</v>
      </c>
      <c r="B2404" s="22" t="s">
        <v>56</v>
      </c>
      <c r="C2404" s="22" t="s">
        <v>124</v>
      </c>
      <c r="D2404" s="23">
        <v>1</v>
      </c>
      <c r="E2404" s="24">
        <f>SUM($D$2:D2404)/SUM($D$2:$D$2846)</f>
        <v>0.96244689889549706</v>
      </c>
      <c r="F2404" s="22" t="s">
        <v>53</v>
      </c>
      <c r="G2404" s="25" t="s">
        <v>125</v>
      </c>
    </row>
    <row r="2405" spans="1:7">
      <c r="A2405" s="21" t="s">
        <v>2492</v>
      </c>
      <c r="B2405" s="22" t="s">
        <v>56</v>
      </c>
      <c r="C2405" s="22" t="s">
        <v>124</v>
      </c>
      <c r="D2405" s="23">
        <v>1</v>
      </c>
      <c r="E2405" s="24">
        <f>SUM($D$2:D2405)/SUM($D$2:$D$2846)</f>
        <v>0.9625318606627018</v>
      </c>
      <c r="F2405" s="22" t="s">
        <v>53</v>
      </c>
      <c r="G2405" s="25" t="s">
        <v>125</v>
      </c>
    </row>
    <row r="2406" spans="1:7">
      <c r="A2406" s="21" t="s">
        <v>2493</v>
      </c>
      <c r="B2406" s="22" t="s">
        <v>56</v>
      </c>
      <c r="C2406" s="22" t="s">
        <v>124</v>
      </c>
      <c r="D2406" s="23">
        <v>1</v>
      </c>
      <c r="E2406" s="24">
        <f>SUM($D$2:D2406)/SUM($D$2:$D$2846)</f>
        <v>0.96261682242990654</v>
      </c>
      <c r="F2406" s="22" t="s">
        <v>53</v>
      </c>
      <c r="G2406" s="25" t="s">
        <v>125</v>
      </c>
    </row>
    <row r="2407" spans="1:7">
      <c r="A2407" s="21" t="s">
        <v>2494</v>
      </c>
      <c r="B2407" s="22" t="s">
        <v>56</v>
      </c>
      <c r="C2407" s="22" t="s">
        <v>124</v>
      </c>
      <c r="D2407" s="23">
        <v>1</v>
      </c>
      <c r="E2407" s="24">
        <f>SUM($D$2:D2407)/SUM($D$2:$D$2846)</f>
        <v>0.96270178419711128</v>
      </c>
      <c r="F2407" s="22" t="s">
        <v>53</v>
      </c>
      <c r="G2407" s="25" t="s">
        <v>125</v>
      </c>
    </row>
    <row r="2408" spans="1:7">
      <c r="A2408" s="21" t="s">
        <v>105</v>
      </c>
      <c r="B2408" s="26" t="s">
        <v>56</v>
      </c>
      <c r="C2408" s="22" t="s">
        <v>73</v>
      </c>
      <c r="D2408" s="23">
        <v>1</v>
      </c>
      <c r="E2408" s="24">
        <f>SUM($D$2:D2408)/SUM($D$2:$D$2846)</f>
        <v>0.96278674596431602</v>
      </c>
      <c r="F2408" s="22" t="s">
        <v>53</v>
      </c>
      <c r="G2408" s="25" t="s">
        <v>74</v>
      </c>
    </row>
    <row r="2409" spans="1:7">
      <c r="A2409" s="21" t="s">
        <v>2495</v>
      </c>
      <c r="B2409" s="22" t="s">
        <v>56</v>
      </c>
      <c r="C2409" s="22" t="s">
        <v>124</v>
      </c>
      <c r="D2409" s="23">
        <v>1</v>
      </c>
      <c r="E2409" s="24">
        <f>SUM($D$2:D2409)/SUM($D$2:$D$2846)</f>
        <v>0.96287170773152087</v>
      </c>
      <c r="F2409" s="22" t="s">
        <v>53</v>
      </c>
      <c r="G2409" s="25" t="s">
        <v>125</v>
      </c>
    </row>
    <row r="2410" spans="1:7">
      <c r="A2410" s="21" t="s">
        <v>2496</v>
      </c>
      <c r="B2410" s="22" t="s">
        <v>56</v>
      </c>
      <c r="C2410" s="22" t="s">
        <v>124</v>
      </c>
      <c r="D2410" s="23">
        <v>1</v>
      </c>
      <c r="E2410" s="24">
        <f>SUM($D$2:D2410)/SUM($D$2:$D$2846)</f>
        <v>0.9629566694987256</v>
      </c>
      <c r="F2410" s="22" t="s">
        <v>53</v>
      </c>
      <c r="G2410" s="25" t="s">
        <v>125</v>
      </c>
    </row>
    <row r="2411" spans="1:7">
      <c r="A2411" s="21" t="s">
        <v>2497</v>
      </c>
      <c r="B2411" s="22" t="s">
        <v>56</v>
      </c>
      <c r="C2411" s="22" t="s">
        <v>124</v>
      </c>
      <c r="D2411" s="23">
        <v>1</v>
      </c>
      <c r="E2411" s="24">
        <f>SUM($D$2:D2411)/SUM($D$2:$D$2846)</f>
        <v>0.96304163126593034</v>
      </c>
      <c r="F2411" s="22" t="s">
        <v>53</v>
      </c>
      <c r="G2411" s="25" t="s">
        <v>125</v>
      </c>
    </row>
    <row r="2412" spans="1:7">
      <c r="A2412" s="21" t="s">
        <v>2498</v>
      </c>
      <c r="B2412" s="26" t="s">
        <v>163</v>
      </c>
      <c r="C2412" s="22" t="s">
        <v>45</v>
      </c>
      <c r="D2412" s="23">
        <v>1</v>
      </c>
      <c r="E2412" s="24">
        <f>SUM($D$2:D2412)/SUM($D$2:$D$2846)</f>
        <v>0.96312659303313508</v>
      </c>
      <c r="F2412" s="22" t="s">
        <v>53</v>
      </c>
      <c r="G2412" s="25" t="s">
        <v>164</v>
      </c>
    </row>
    <row r="2413" spans="1:7">
      <c r="A2413" s="21" t="s">
        <v>2499</v>
      </c>
      <c r="B2413" s="22" t="s">
        <v>56</v>
      </c>
      <c r="C2413" s="22" t="s">
        <v>124</v>
      </c>
      <c r="D2413" s="23">
        <v>1</v>
      </c>
      <c r="E2413" s="24">
        <f>SUM($D$2:D2413)/SUM($D$2:$D$2846)</f>
        <v>0.96321155480033982</v>
      </c>
      <c r="F2413" s="22" t="s">
        <v>53</v>
      </c>
      <c r="G2413" s="25" t="s">
        <v>125</v>
      </c>
    </row>
    <row r="2414" spans="1:7">
      <c r="A2414" s="21" t="s">
        <v>2500</v>
      </c>
      <c r="B2414" s="22" t="s">
        <v>56</v>
      </c>
      <c r="C2414" s="22" t="s">
        <v>124</v>
      </c>
      <c r="D2414" s="23">
        <v>1</v>
      </c>
      <c r="E2414" s="24">
        <f>SUM($D$2:D2414)/SUM($D$2:$D$2846)</f>
        <v>0.96329651656754456</v>
      </c>
      <c r="F2414" s="22" t="s">
        <v>53</v>
      </c>
      <c r="G2414" s="25" t="s">
        <v>125</v>
      </c>
    </row>
    <row r="2415" spans="1:7">
      <c r="A2415" s="21" t="s">
        <v>106</v>
      </c>
      <c r="B2415" s="26" t="s">
        <v>56</v>
      </c>
      <c r="C2415" s="22" t="s">
        <v>73</v>
      </c>
      <c r="D2415" s="23">
        <v>1</v>
      </c>
      <c r="E2415" s="24">
        <f>SUM($D$2:D2415)/SUM($D$2:$D$2846)</f>
        <v>0.96338147833474941</v>
      </c>
      <c r="F2415" s="22" t="s">
        <v>53</v>
      </c>
      <c r="G2415" s="25" t="s">
        <v>74</v>
      </c>
    </row>
    <row r="2416" spans="1:7">
      <c r="A2416" s="21" t="s">
        <v>107</v>
      </c>
      <c r="B2416" s="26" t="s">
        <v>56</v>
      </c>
      <c r="C2416" s="22" t="s">
        <v>73</v>
      </c>
      <c r="D2416" s="23">
        <v>1</v>
      </c>
      <c r="E2416" s="24">
        <f>SUM($D$2:D2416)/SUM($D$2:$D$2846)</f>
        <v>0.96346644010195415</v>
      </c>
      <c r="F2416" s="22" t="s">
        <v>53</v>
      </c>
      <c r="G2416" s="25" t="s">
        <v>74</v>
      </c>
    </row>
    <row r="2417" spans="1:7">
      <c r="A2417" s="21" t="s">
        <v>2501</v>
      </c>
      <c r="B2417" s="22" t="s">
        <v>56</v>
      </c>
      <c r="C2417" s="22" t="s">
        <v>124</v>
      </c>
      <c r="D2417" s="23">
        <v>1</v>
      </c>
      <c r="E2417" s="24">
        <f>SUM($D$2:D2417)/SUM($D$2:$D$2846)</f>
        <v>0.96355140186915889</v>
      </c>
      <c r="F2417" s="22" t="s">
        <v>53</v>
      </c>
      <c r="G2417" s="25" t="s">
        <v>125</v>
      </c>
    </row>
    <row r="2418" spans="1:7">
      <c r="A2418" s="21" t="s">
        <v>2502</v>
      </c>
      <c r="B2418" s="22" t="s">
        <v>56</v>
      </c>
      <c r="C2418" s="22" t="s">
        <v>124</v>
      </c>
      <c r="D2418" s="23">
        <v>1</v>
      </c>
      <c r="E2418" s="24">
        <f>SUM($D$2:D2418)/SUM($D$2:$D$2846)</f>
        <v>0.96363636363636362</v>
      </c>
      <c r="F2418" s="22" t="s">
        <v>53</v>
      </c>
      <c r="G2418" s="25" t="s">
        <v>125</v>
      </c>
    </row>
    <row r="2419" spans="1:7">
      <c r="A2419" s="21" t="s">
        <v>2503</v>
      </c>
      <c r="B2419" s="22" t="s">
        <v>56</v>
      </c>
      <c r="C2419" s="22" t="s">
        <v>124</v>
      </c>
      <c r="D2419" s="23">
        <v>1</v>
      </c>
      <c r="E2419" s="24">
        <f>SUM($D$2:D2419)/SUM($D$2:$D$2846)</f>
        <v>0.96372132540356836</v>
      </c>
      <c r="F2419" s="22" t="s">
        <v>53</v>
      </c>
      <c r="G2419" s="25" t="s">
        <v>125</v>
      </c>
    </row>
    <row r="2420" spans="1:7">
      <c r="A2420" s="21" t="s">
        <v>2504</v>
      </c>
      <c r="B2420" s="22" t="s">
        <v>56</v>
      </c>
      <c r="C2420" s="22" t="s">
        <v>124</v>
      </c>
      <c r="D2420" s="23">
        <v>1</v>
      </c>
      <c r="E2420" s="24">
        <f>SUM($D$2:D2420)/SUM($D$2:$D$2846)</f>
        <v>0.9638062871707731</v>
      </c>
      <c r="F2420" s="22" t="s">
        <v>53</v>
      </c>
      <c r="G2420" s="25" t="s">
        <v>125</v>
      </c>
    </row>
    <row r="2421" spans="1:7">
      <c r="A2421" s="21" t="s">
        <v>2505</v>
      </c>
      <c r="B2421" s="22" t="s">
        <v>56</v>
      </c>
      <c r="C2421" s="22" t="s">
        <v>124</v>
      </c>
      <c r="D2421" s="23">
        <v>1</v>
      </c>
      <c r="E2421" s="24">
        <f>SUM($D$2:D2421)/SUM($D$2:$D$2846)</f>
        <v>0.96389124893797795</v>
      </c>
      <c r="F2421" s="22" t="s">
        <v>53</v>
      </c>
      <c r="G2421" s="25" t="s">
        <v>125</v>
      </c>
    </row>
    <row r="2422" spans="1:7">
      <c r="A2422" s="21" t="s">
        <v>2506</v>
      </c>
      <c r="B2422" s="22" t="s">
        <v>56</v>
      </c>
      <c r="C2422" s="22" t="s">
        <v>124</v>
      </c>
      <c r="D2422" s="23">
        <v>1</v>
      </c>
      <c r="E2422" s="24">
        <f>SUM($D$2:D2422)/SUM($D$2:$D$2846)</f>
        <v>0.96397621070518269</v>
      </c>
      <c r="F2422" s="22" t="s">
        <v>53</v>
      </c>
      <c r="G2422" s="25" t="s">
        <v>125</v>
      </c>
    </row>
    <row r="2423" spans="1:7">
      <c r="A2423" s="21" t="s">
        <v>2507</v>
      </c>
      <c r="B2423" s="22" t="s">
        <v>56</v>
      </c>
      <c r="C2423" s="22" t="s">
        <v>124</v>
      </c>
      <c r="D2423" s="23">
        <v>1</v>
      </c>
      <c r="E2423" s="24">
        <f>SUM($D$2:D2423)/SUM($D$2:$D$2846)</f>
        <v>0.96406117247238743</v>
      </c>
      <c r="F2423" s="22" t="s">
        <v>53</v>
      </c>
      <c r="G2423" s="25" t="s">
        <v>125</v>
      </c>
    </row>
    <row r="2424" spans="1:7">
      <c r="A2424" s="21" t="s">
        <v>2508</v>
      </c>
      <c r="B2424" s="26" t="s">
        <v>163</v>
      </c>
      <c r="C2424" s="22" t="s">
        <v>45</v>
      </c>
      <c r="D2424" s="23">
        <v>1</v>
      </c>
      <c r="E2424" s="24">
        <f>SUM($D$2:D2424)/SUM($D$2:$D$2846)</f>
        <v>0.96414613423959217</v>
      </c>
      <c r="F2424" s="22" t="s">
        <v>53</v>
      </c>
      <c r="G2424" s="25" t="s">
        <v>164</v>
      </c>
    </row>
    <row r="2425" spans="1:7">
      <c r="A2425" s="21" t="s">
        <v>2509</v>
      </c>
      <c r="B2425" s="26" t="s">
        <v>163</v>
      </c>
      <c r="C2425" s="22" t="s">
        <v>45</v>
      </c>
      <c r="D2425" s="23">
        <v>1</v>
      </c>
      <c r="E2425" s="24">
        <f>SUM($D$2:D2425)/SUM($D$2:$D$2846)</f>
        <v>0.96423109600679691</v>
      </c>
      <c r="F2425" s="22" t="s">
        <v>53</v>
      </c>
      <c r="G2425" s="25" t="s">
        <v>164</v>
      </c>
    </row>
    <row r="2426" spans="1:7">
      <c r="A2426" s="21" t="s">
        <v>2510</v>
      </c>
      <c r="B2426" s="22" t="s">
        <v>56</v>
      </c>
      <c r="C2426" s="22" t="s">
        <v>124</v>
      </c>
      <c r="D2426" s="23">
        <v>1</v>
      </c>
      <c r="E2426" s="24">
        <f>SUM($D$2:D2426)/SUM($D$2:$D$2846)</f>
        <v>0.96431605777400164</v>
      </c>
      <c r="F2426" s="22" t="s">
        <v>53</v>
      </c>
      <c r="G2426" s="25" t="s">
        <v>125</v>
      </c>
    </row>
    <row r="2427" spans="1:7">
      <c r="A2427" s="21" t="s">
        <v>2511</v>
      </c>
      <c r="B2427" s="22" t="s">
        <v>56</v>
      </c>
      <c r="C2427" s="22" t="s">
        <v>124</v>
      </c>
      <c r="D2427" s="23">
        <v>1</v>
      </c>
      <c r="E2427" s="24">
        <f>SUM($D$2:D2427)/SUM($D$2:$D$2846)</f>
        <v>0.96440101954120649</v>
      </c>
      <c r="F2427" s="22" t="s">
        <v>53</v>
      </c>
      <c r="G2427" s="25" t="s">
        <v>125</v>
      </c>
    </row>
    <row r="2428" spans="1:7">
      <c r="A2428" s="21" t="s">
        <v>2512</v>
      </c>
      <c r="B2428" s="22" t="s">
        <v>56</v>
      </c>
      <c r="C2428" s="22" t="s">
        <v>124</v>
      </c>
      <c r="D2428" s="23">
        <v>1</v>
      </c>
      <c r="E2428" s="24">
        <f>SUM($D$2:D2428)/SUM($D$2:$D$2846)</f>
        <v>0.96448598130841123</v>
      </c>
      <c r="F2428" s="22" t="s">
        <v>53</v>
      </c>
      <c r="G2428" s="25" t="s">
        <v>125</v>
      </c>
    </row>
    <row r="2429" spans="1:7">
      <c r="A2429" s="21" t="s">
        <v>2513</v>
      </c>
      <c r="B2429" s="22" t="s">
        <v>56</v>
      </c>
      <c r="C2429" s="22" t="s">
        <v>124</v>
      </c>
      <c r="D2429" s="23">
        <v>1</v>
      </c>
      <c r="E2429" s="24">
        <f>SUM($D$2:D2429)/SUM($D$2:$D$2846)</f>
        <v>0.96457094307561597</v>
      </c>
      <c r="F2429" s="22" t="s">
        <v>53</v>
      </c>
      <c r="G2429" s="25" t="s">
        <v>125</v>
      </c>
    </row>
    <row r="2430" spans="1:7">
      <c r="A2430" s="21" t="s">
        <v>2514</v>
      </c>
      <c r="B2430" s="22" t="s">
        <v>56</v>
      </c>
      <c r="C2430" s="22" t="s">
        <v>124</v>
      </c>
      <c r="D2430" s="23">
        <v>1</v>
      </c>
      <c r="E2430" s="24">
        <f>SUM($D$2:D2430)/SUM($D$2:$D$2846)</f>
        <v>0.96465590484282071</v>
      </c>
      <c r="F2430" s="22" t="s">
        <v>53</v>
      </c>
      <c r="G2430" s="25" t="s">
        <v>125</v>
      </c>
    </row>
    <row r="2431" spans="1:7">
      <c r="A2431" s="21" t="s">
        <v>2515</v>
      </c>
      <c r="B2431" s="22" t="s">
        <v>56</v>
      </c>
      <c r="C2431" s="22" t="s">
        <v>124</v>
      </c>
      <c r="D2431" s="23">
        <v>1</v>
      </c>
      <c r="E2431" s="24">
        <f>SUM($D$2:D2431)/SUM($D$2:$D$2846)</f>
        <v>0.96474086661002545</v>
      </c>
      <c r="F2431" s="22" t="s">
        <v>53</v>
      </c>
      <c r="G2431" s="25" t="s">
        <v>125</v>
      </c>
    </row>
    <row r="2432" spans="1:7">
      <c r="A2432" s="21" t="s">
        <v>2516</v>
      </c>
      <c r="B2432" s="22" t="s">
        <v>56</v>
      </c>
      <c r="C2432" s="22" t="s">
        <v>124</v>
      </c>
      <c r="D2432" s="23">
        <v>1</v>
      </c>
      <c r="E2432" s="24">
        <f>SUM($D$2:D2432)/SUM($D$2:$D$2846)</f>
        <v>0.9648258283772303</v>
      </c>
      <c r="F2432" s="22" t="s">
        <v>53</v>
      </c>
      <c r="G2432" s="25" t="s">
        <v>125</v>
      </c>
    </row>
    <row r="2433" spans="1:7">
      <c r="A2433" s="21" t="s">
        <v>2517</v>
      </c>
      <c r="B2433" s="26" t="s">
        <v>163</v>
      </c>
      <c r="C2433" s="22" t="s">
        <v>45</v>
      </c>
      <c r="D2433" s="23">
        <v>1</v>
      </c>
      <c r="E2433" s="24">
        <f>SUM($D$2:D2433)/SUM($D$2:$D$2846)</f>
        <v>0.96491079014443504</v>
      </c>
      <c r="F2433" s="22" t="s">
        <v>53</v>
      </c>
      <c r="G2433" s="25" t="s">
        <v>164</v>
      </c>
    </row>
    <row r="2434" spans="1:7">
      <c r="A2434" s="21" t="s">
        <v>2518</v>
      </c>
      <c r="B2434" s="26" t="s">
        <v>163</v>
      </c>
      <c r="C2434" s="22" t="s">
        <v>45</v>
      </c>
      <c r="D2434" s="23">
        <v>1</v>
      </c>
      <c r="E2434" s="24">
        <f>SUM($D$2:D2434)/SUM($D$2:$D$2846)</f>
        <v>0.96499575191163978</v>
      </c>
      <c r="F2434" s="22" t="s">
        <v>53</v>
      </c>
      <c r="G2434" s="25" t="s">
        <v>164</v>
      </c>
    </row>
    <row r="2435" spans="1:7">
      <c r="A2435" s="21" t="s">
        <v>2519</v>
      </c>
      <c r="B2435" s="26" t="s">
        <v>163</v>
      </c>
      <c r="C2435" s="22" t="s">
        <v>45</v>
      </c>
      <c r="D2435" s="23">
        <v>1</v>
      </c>
      <c r="E2435" s="24">
        <f>SUM($D$2:D2435)/SUM($D$2:$D$2846)</f>
        <v>0.96508071367884452</v>
      </c>
      <c r="F2435" s="22" t="s">
        <v>53</v>
      </c>
      <c r="G2435" s="25" t="s">
        <v>164</v>
      </c>
    </row>
    <row r="2436" spans="1:7">
      <c r="A2436" s="21" t="s">
        <v>2520</v>
      </c>
      <c r="B2436" s="26" t="s">
        <v>163</v>
      </c>
      <c r="C2436" s="22" t="s">
        <v>45</v>
      </c>
      <c r="D2436" s="23">
        <v>1</v>
      </c>
      <c r="E2436" s="24">
        <f>SUM($D$2:D2436)/SUM($D$2:$D$2846)</f>
        <v>0.96516567544604925</v>
      </c>
      <c r="F2436" s="22" t="s">
        <v>53</v>
      </c>
      <c r="G2436" s="25" t="s">
        <v>164</v>
      </c>
    </row>
    <row r="2437" spans="1:7">
      <c r="A2437" s="21" t="s">
        <v>2521</v>
      </c>
      <c r="B2437" s="22" t="s">
        <v>56</v>
      </c>
      <c r="C2437" s="22" t="s">
        <v>124</v>
      </c>
      <c r="D2437" s="23">
        <v>1</v>
      </c>
      <c r="E2437" s="24">
        <f>SUM($D$2:D2437)/SUM($D$2:$D$2846)</f>
        <v>0.96525063721325399</v>
      </c>
      <c r="F2437" s="22" t="s">
        <v>53</v>
      </c>
      <c r="G2437" s="25" t="s">
        <v>125</v>
      </c>
    </row>
    <row r="2438" spans="1:7">
      <c r="A2438" s="21" t="s">
        <v>2522</v>
      </c>
      <c r="B2438" s="22" t="s">
        <v>56</v>
      </c>
      <c r="C2438" s="22" t="s">
        <v>124</v>
      </c>
      <c r="D2438" s="23">
        <v>1</v>
      </c>
      <c r="E2438" s="24">
        <f>SUM($D$2:D2438)/SUM($D$2:$D$2846)</f>
        <v>0.96533559898045884</v>
      </c>
      <c r="F2438" s="22" t="s">
        <v>53</v>
      </c>
      <c r="G2438" s="25" t="s">
        <v>125</v>
      </c>
    </row>
    <row r="2439" spans="1:7">
      <c r="A2439" s="21" t="s">
        <v>2523</v>
      </c>
      <c r="B2439" s="22" t="s">
        <v>56</v>
      </c>
      <c r="C2439" s="22" t="s">
        <v>124</v>
      </c>
      <c r="D2439" s="23">
        <v>1</v>
      </c>
      <c r="E2439" s="24">
        <f>SUM($D$2:D2439)/SUM($D$2:$D$2846)</f>
        <v>0.96542056074766358</v>
      </c>
      <c r="F2439" s="22" t="s">
        <v>53</v>
      </c>
      <c r="G2439" s="25" t="s">
        <v>125</v>
      </c>
    </row>
    <row r="2440" spans="1:7">
      <c r="A2440" s="21" t="s">
        <v>2524</v>
      </c>
      <c r="B2440" s="26" t="s">
        <v>163</v>
      </c>
      <c r="C2440" s="22" t="s">
        <v>45</v>
      </c>
      <c r="D2440" s="23">
        <v>1</v>
      </c>
      <c r="E2440" s="24">
        <f>SUM($D$2:D2440)/SUM($D$2:$D$2846)</f>
        <v>0.96550552251486832</v>
      </c>
      <c r="F2440" s="22" t="s">
        <v>53</v>
      </c>
      <c r="G2440" s="25" t="s">
        <v>164</v>
      </c>
    </row>
    <row r="2441" spans="1:7">
      <c r="A2441" s="21" t="s">
        <v>2525</v>
      </c>
      <c r="B2441" s="26" t="s">
        <v>163</v>
      </c>
      <c r="C2441" s="22" t="s">
        <v>45</v>
      </c>
      <c r="D2441" s="23">
        <v>1</v>
      </c>
      <c r="E2441" s="24">
        <f>SUM($D$2:D2441)/SUM($D$2:$D$2846)</f>
        <v>0.96559048428207306</v>
      </c>
      <c r="F2441" s="22" t="s">
        <v>53</v>
      </c>
      <c r="G2441" s="25" t="s">
        <v>164</v>
      </c>
    </row>
    <row r="2442" spans="1:7">
      <c r="A2442" s="21" t="s">
        <v>2526</v>
      </c>
      <c r="B2442" s="26" t="s">
        <v>163</v>
      </c>
      <c r="C2442" s="22" t="s">
        <v>45</v>
      </c>
      <c r="D2442" s="23">
        <v>1</v>
      </c>
      <c r="E2442" s="24">
        <f>SUM($D$2:D2442)/SUM($D$2:$D$2846)</f>
        <v>0.9656754460492778</v>
      </c>
      <c r="F2442" s="22" t="s">
        <v>53</v>
      </c>
      <c r="G2442" s="25" t="s">
        <v>164</v>
      </c>
    </row>
    <row r="2443" spans="1:7">
      <c r="A2443" s="21" t="s">
        <v>2527</v>
      </c>
      <c r="B2443" s="22" t="s">
        <v>56</v>
      </c>
      <c r="C2443" s="22" t="s">
        <v>124</v>
      </c>
      <c r="D2443" s="23">
        <v>1</v>
      </c>
      <c r="E2443" s="24">
        <f>SUM($D$2:D2443)/SUM($D$2:$D$2846)</f>
        <v>0.96576040781648254</v>
      </c>
      <c r="F2443" s="22" t="s">
        <v>53</v>
      </c>
      <c r="G2443" s="25" t="s">
        <v>125</v>
      </c>
    </row>
    <row r="2444" spans="1:7">
      <c r="A2444" s="21" t="s">
        <v>2528</v>
      </c>
      <c r="B2444" s="22" t="s">
        <v>56</v>
      </c>
      <c r="C2444" s="22" t="s">
        <v>124</v>
      </c>
      <c r="D2444" s="23">
        <v>1</v>
      </c>
      <c r="E2444" s="24">
        <f>SUM($D$2:D2444)/SUM($D$2:$D$2846)</f>
        <v>0.96584536958368739</v>
      </c>
      <c r="F2444" s="22" t="s">
        <v>53</v>
      </c>
      <c r="G2444" s="25" t="s">
        <v>125</v>
      </c>
    </row>
    <row r="2445" spans="1:7">
      <c r="A2445" s="21" t="s">
        <v>2529</v>
      </c>
      <c r="B2445" s="22" t="s">
        <v>56</v>
      </c>
      <c r="C2445" s="22" t="s">
        <v>124</v>
      </c>
      <c r="D2445" s="23">
        <v>1</v>
      </c>
      <c r="E2445" s="24">
        <f>SUM($D$2:D2445)/SUM($D$2:$D$2846)</f>
        <v>0.96593033135089212</v>
      </c>
      <c r="F2445" s="22" t="s">
        <v>53</v>
      </c>
      <c r="G2445" s="25" t="s">
        <v>125</v>
      </c>
    </row>
    <row r="2446" spans="1:7">
      <c r="A2446" s="21" t="s">
        <v>2530</v>
      </c>
      <c r="B2446" s="22" t="s">
        <v>56</v>
      </c>
      <c r="C2446" s="22" t="s">
        <v>124</v>
      </c>
      <c r="D2446" s="23">
        <v>1</v>
      </c>
      <c r="E2446" s="24">
        <f>SUM($D$2:D2446)/SUM($D$2:$D$2846)</f>
        <v>0.96601529311809686</v>
      </c>
      <c r="F2446" s="22" t="s">
        <v>53</v>
      </c>
      <c r="G2446" s="25" t="s">
        <v>125</v>
      </c>
    </row>
    <row r="2447" spans="1:7">
      <c r="A2447" s="21" t="s">
        <v>2531</v>
      </c>
      <c r="B2447" s="26" t="s">
        <v>163</v>
      </c>
      <c r="C2447" s="22" t="s">
        <v>45</v>
      </c>
      <c r="D2447" s="23">
        <v>1</v>
      </c>
      <c r="E2447" s="24">
        <f>SUM($D$2:D2447)/SUM($D$2:$D$2846)</f>
        <v>0.9661002548853016</v>
      </c>
      <c r="F2447" s="22" t="s">
        <v>53</v>
      </c>
      <c r="G2447" s="25" t="s">
        <v>164</v>
      </c>
    </row>
    <row r="2448" spans="1:7">
      <c r="A2448" s="21" t="s">
        <v>2532</v>
      </c>
      <c r="B2448" s="22" t="s">
        <v>56</v>
      </c>
      <c r="C2448" s="22" t="s">
        <v>124</v>
      </c>
      <c r="D2448" s="23">
        <v>1</v>
      </c>
      <c r="E2448" s="24">
        <f>SUM($D$2:D2448)/SUM($D$2:$D$2846)</f>
        <v>0.96618521665250634</v>
      </c>
      <c r="F2448" s="22" t="s">
        <v>53</v>
      </c>
      <c r="G2448" s="25" t="s">
        <v>125</v>
      </c>
    </row>
    <row r="2449" spans="1:7">
      <c r="A2449" s="21" t="s">
        <v>2533</v>
      </c>
      <c r="B2449" s="22" t="s">
        <v>56</v>
      </c>
      <c r="C2449" s="22" t="s">
        <v>124</v>
      </c>
      <c r="D2449" s="23">
        <v>1</v>
      </c>
      <c r="E2449" s="24">
        <f>SUM($D$2:D2449)/SUM($D$2:$D$2846)</f>
        <v>0.96627017841971108</v>
      </c>
      <c r="F2449" s="22" t="s">
        <v>53</v>
      </c>
      <c r="G2449" s="25" t="s">
        <v>125</v>
      </c>
    </row>
    <row r="2450" spans="1:7">
      <c r="A2450" s="21" t="s">
        <v>2534</v>
      </c>
      <c r="B2450" s="22" t="s">
        <v>56</v>
      </c>
      <c r="C2450" s="22" t="s">
        <v>124</v>
      </c>
      <c r="D2450" s="23">
        <v>1</v>
      </c>
      <c r="E2450" s="24">
        <f>SUM($D$2:D2450)/SUM($D$2:$D$2846)</f>
        <v>0.96635514018691593</v>
      </c>
      <c r="F2450" s="22" t="s">
        <v>53</v>
      </c>
      <c r="G2450" s="25" t="s">
        <v>125</v>
      </c>
    </row>
    <row r="2451" spans="1:7">
      <c r="A2451" s="21" t="s">
        <v>2535</v>
      </c>
      <c r="B2451" s="26" t="s">
        <v>163</v>
      </c>
      <c r="C2451" s="22" t="s">
        <v>45</v>
      </c>
      <c r="D2451" s="23">
        <v>1</v>
      </c>
      <c r="E2451" s="24">
        <f>SUM($D$2:D2451)/SUM($D$2:$D$2846)</f>
        <v>0.96644010195412067</v>
      </c>
      <c r="F2451" s="22" t="s">
        <v>53</v>
      </c>
      <c r="G2451" s="25" t="s">
        <v>164</v>
      </c>
    </row>
    <row r="2452" spans="1:7">
      <c r="A2452" s="21" t="s">
        <v>2536</v>
      </c>
      <c r="B2452" s="22" t="s">
        <v>56</v>
      </c>
      <c r="C2452" s="22" t="s">
        <v>124</v>
      </c>
      <c r="D2452" s="23">
        <v>1</v>
      </c>
      <c r="E2452" s="24">
        <f>SUM($D$2:D2452)/SUM($D$2:$D$2846)</f>
        <v>0.96652506372132541</v>
      </c>
      <c r="F2452" s="22" t="s">
        <v>53</v>
      </c>
      <c r="G2452" s="25" t="s">
        <v>125</v>
      </c>
    </row>
    <row r="2453" spans="1:7">
      <c r="A2453" s="21" t="s">
        <v>2537</v>
      </c>
      <c r="B2453" s="22" t="s">
        <v>56</v>
      </c>
      <c r="C2453" s="22" t="s">
        <v>124</v>
      </c>
      <c r="D2453" s="23">
        <v>1</v>
      </c>
      <c r="E2453" s="24">
        <f>SUM($D$2:D2453)/SUM($D$2:$D$2846)</f>
        <v>0.96661002548853014</v>
      </c>
      <c r="F2453" s="22" t="s">
        <v>53</v>
      </c>
      <c r="G2453" s="25" t="s">
        <v>125</v>
      </c>
    </row>
    <row r="2454" spans="1:7">
      <c r="A2454" s="21" t="s">
        <v>2538</v>
      </c>
      <c r="B2454" s="22" t="s">
        <v>56</v>
      </c>
      <c r="C2454" s="22" t="s">
        <v>124</v>
      </c>
      <c r="D2454" s="23">
        <v>1</v>
      </c>
      <c r="E2454" s="24">
        <f>SUM($D$2:D2454)/SUM($D$2:$D$2846)</f>
        <v>0.96669498725573488</v>
      </c>
      <c r="F2454" s="22" t="s">
        <v>53</v>
      </c>
      <c r="G2454" s="25" t="s">
        <v>125</v>
      </c>
    </row>
    <row r="2455" spans="1:7">
      <c r="A2455" s="21" t="s">
        <v>2539</v>
      </c>
      <c r="B2455" s="22" t="s">
        <v>56</v>
      </c>
      <c r="C2455" s="22" t="s">
        <v>124</v>
      </c>
      <c r="D2455" s="23">
        <v>1</v>
      </c>
      <c r="E2455" s="24">
        <f>SUM($D$2:D2455)/SUM($D$2:$D$2846)</f>
        <v>0.96677994902293962</v>
      </c>
      <c r="F2455" s="22" t="s">
        <v>53</v>
      </c>
      <c r="G2455" s="25" t="s">
        <v>125</v>
      </c>
    </row>
    <row r="2456" spans="1:7">
      <c r="A2456" s="21" t="s">
        <v>2540</v>
      </c>
      <c r="B2456" s="22" t="s">
        <v>56</v>
      </c>
      <c r="C2456" s="22" t="s">
        <v>124</v>
      </c>
      <c r="D2456" s="23">
        <v>1</v>
      </c>
      <c r="E2456" s="24">
        <f>SUM($D$2:D2456)/SUM($D$2:$D$2846)</f>
        <v>0.96686491079014447</v>
      </c>
      <c r="F2456" s="22" t="s">
        <v>53</v>
      </c>
      <c r="G2456" s="25" t="s">
        <v>125</v>
      </c>
    </row>
    <row r="2457" spans="1:7">
      <c r="A2457" s="21" t="s">
        <v>2541</v>
      </c>
      <c r="B2457" s="22" t="s">
        <v>56</v>
      </c>
      <c r="C2457" s="22" t="s">
        <v>124</v>
      </c>
      <c r="D2457" s="23">
        <v>1</v>
      </c>
      <c r="E2457" s="24">
        <f>SUM($D$2:D2457)/SUM($D$2:$D$2846)</f>
        <v>0.96694987255734921</v>
      </c>
      <c r="F2457" s="22" t="s">
        <v>53</v>
      </c>
      <c r="G2457" s="25" t="s">
        <v>125</v>
      </c>
    </row>
    <row r="2458" spans="1:7">
      <c r="A2458" s="21" t="s">
        <v>2542</v>
      </c>
      <c r="B2458" s="22" t="s">
        <v>56</v>
      </c>
      <c r="C2458" s="22" t="s">
        <v>124</v>
      </c>
      <c r="D2458" s="23">
        <v>1</v>
      </c>
      <c r="E2458" s="24">
        <f>SUM($D$2:D2458)/SUM($D$2:$D$2846)</f>
        <v>0.96703483432455395</v>
      </c>
      <c r="F2458" s="22" t="s">
        <v>53</v>
      </c>
      <c r="G2458" s="25" t="s">
        <v>125</v>
      </c>
    </row>
    <row r="2459" spans="1:7">
      <c r="A2459" s="21" t="s">
        <v>2543</v>
      </c>
      <c r="B2459" s="22" t="s">
        <v>56</v>
      </c>
      <c r="C2459" s="22" t="s">
        <v>124</v>
      </c>
      <c r="D2459" s="23">
        <v>1</v>
      </c>
      <c r="E2459" s="24">
        <f>SUM($D$2:D2459)/SUM($D$2:$D$2846)</f>
        <v>0.96711979609175869</v>
      </c>
      <c r="F2459" s="22" t="s">
        <v>53</v>
      </c>
      <c r="G2459" s="25" t="s">
        <v>125</v>
      </c>
    </row>
    <row r="2460" spans="1:7">
      <c r="A2460" s="21" t="s">
        <v>2544</v>
      </c>
      <c r="B2460" s="22" t="s">
        <v>56</v>
      </c>
      <c r="C2460" s="22" t="s">
        <v>124</v>
      </c>
      <c r="D2460" s="23">
        <v>1</v>
      </c>
      <c r="E2460" s="24">
        <f>SUM($D$2:D2460)/SUM($D$2:$D$2846)</f>
        <v>0.96720475785896343</v>
      </c>
      <c r="F2460" s="22" t="s">
        <v>53</v>
      </c>
      <c r="G2460" s="25" t="s">
        <v>125</v>
      </c>
    </row>
    <row r="2461" spans="1:7">
      <c r="A2461" s="21" t="s">
        <v>2545</v>
      </c>
      <c r="B2461" s="22" t="s">
        <v>56</v>
      </c>
      <c r="C2461" s="22" t="s">
        <v>124</v>
      </c>
      <c r="D2461" s="23">
        <v>1</v>
      </c>
      <c r="E2461" s="24">
        <f>SUM($D$2:D2461)/SUM($D$2:$D$2846)</f>
        <v>0.96728971962616828</v>
      </c>
      <c r="F2461" s="22" t="s">
        <v>53</v>
      </c>
      <c r="G2461" s="25" t="s">
        <v>125</v>
      </c>
    </row>
    <row r="2462" spans="1:7">
      <c r="A2462" s="21" t="s">
        <v>2546</v>
      </c>
      <c r="B2462" s="22" t="s">
        <v>56</v>
      </c>
      <c r="C2462" s="22" t="s">
        <v>124</v>
      </c>
      <c r="D2462" s="23">
        <v>1</v>
      </c>
      <c r="E2462" s="24">
        <f>SUM($D$2:D2462)/SUM($D$2:$D$2846)</f>
        <v>0.96737468139337301</v>
      </c>
      <c r="F2462" s="22" t="s">
        <v>53</v>
      </c>
      <c r="G2462" s="25" t="s">
        <v>125</v>
      </c>
    </row>
    <row r="2463" spans="1:7">
      <c r="A2463" s="21" t="s">
        <v>2547</v>
      </c>
      <c r="B2463" s="22" t="s">
        <v>56</v>
      </c>
      <c r="C2463" s="22" t="s">
        <v>124</v>
      </c>
      <c r="D2463" s="23">
        <v>1</v>
      </c>
      <c r="E2463" s="24">
        <f>SUM($D$2:D2463)/SUM($D$2:$D$2846)</f>
        <v>0.96745964316057775</v>
      </c>
      <c r="F2463" s="22" t="s">
        <v>53</v>
      </c>
      <c r="G2463" s="25" t="s">
        <v>125</v>
      </c>
    </row>
    <row r="2464" spans="1:7">
      <c r="A2464" s="21" t="s">
        <v>2548</v>
      </c>
      <c r="B2464" s="26" t="s">
        <v>163</v>
      </c>
      <c r="C2464" s="22" t="s">
        <v>45</v>
      </c>
      <c r="D2464" s="23">
        <v>1</v>
      </c>
      <c r="E2464" s="24">
        <f>SUM($D$2:D2464)/SUM($D$2:$D$2846)</f>
        <v>0.96754460492778249</v>
      </c>
      <c r="F2464" s="22" t="s">
        <v>53</v>
      </c>
      <c r="G2464" s="25" t="s">
        <v>164</v>
      </c>
    </row>
    <row r="2465" spans="1:7">
      <c r="A2465" s="21" t="s">
        <v>2549</v>
      </c>
      <c r="B2465" s="22" t="s">
        <v>56</v>
      </c>
      <c r="C2465" s="22" t="s">
        <v>124</v>
      </c>
      <c r="D2465" s="23">
        <v>1</v>
      </c>
      <c r="E2465" s="24">
        <f>SUM($D$2:D2465)/SUM($D$2:$D$2846)</f>
        <v>0.96762956669498723</v>
      </c>
      <c r="F2465" s="22" t="s">
        <v>53</v>
      </c>
      <c r="G2465" s="25" t="s">
        <v>125</v>
      </c>
    </row>
    <row r="2466" spans="1:7">
      <c r="A2466" s="21" t="s">
        <v>2550</v>
      </c>
      <c r="B2466" s="22" t="s">
        <v>56</v>
      </c>
      <c r="C2466" s="22" t="s">
        <v>124</v>
      </c>
      <c r="D2466" s="23">
        <v>1</v>
      </c>
      <c r="E2466" s="24">
        <f>SUM($D$2:D2466)/SUM($D$2:$D$2846)</f>
        <v>0.96771452846219197</v>
      </c>
      <c r="F2466" s="22" t="s">
        <v>53</v>
      </c>
      <c r="G2466" s="25" t="s">
        <v>125</v>
      </c>
    </row>
    <row r="2467" spans="1:7">
      <c r="A2467" s="21" t="s">
        <v>2551</v>
      </c>
      <c r="B2467" s="26" t="s">
        <v>163</v>
      </c>
      <c r="C2467" s="22" t="s">
        <v>45</v>
      </c>
      <c r="D2467" s="23">
        <v>1</v>
      </c>
      <c r="E2467" s="24">
        <f>SUM($D$2:D2467)/SUM($D$2:$D$2846)</f>
        <v>0.96779949022939682</v>
      </c>
      <c r="F2467" s="22" t="s">
        <v>53</v>
      </c>
      <c r="G2467" s="25" t="s">
        <v>164</v>
      </c>
    </row>
    <row r="2468" spans="1:7">
      <c r="A2468" s="21" t="s">
        <v>2552</v>
      </c>
      <c r="B2468" s="22" t="s">
        <v>56</v>
      </c>
      <c r="C2468" s="22" t="s">
        <v>124</v>
      </c>
      <c r="D2468" s="23">
        <v>1</v>
      </c>
      <c r="E2468" s="24">
        <f>SUM($D$2:D2468)/SUM($D$2:$D$2846)</f>
        <v>0.96788445199660156</v>
      </c>
      <c r="F2468" s="22" t="s">
        <v>53</v>
      </c>
      <c r="G2468" s="25" t="s">
        <v>125</v>
      </c>
    </row>
    <row r="2469" spans="1:7">
      <c r="A2469" s="21" t="s">
        <v>2553</v>
      </c>
      <c r="B2469" s="22" t="s">
        <v>56</v>
      </c>
      <c r="C2469" s="22" t="s">
        <v>124</v>
      </c>
      <c r="D2469" s="23">
        <v>1</v>
      </c>
      <c r="E2469" s="24">
        <f>SUM($D$2:D2469)/SUM($D$2:$D$2846)</f>
        <v>0.9679694137638063</v>
      </c>
      <c r="F2469" s="22" t="s">
        <v>53</v>
      </c>
      <c r="G2469" s="25" t="s">
        <v>125</v>
      </c>
    </row>
    <row r="2470" spans="1:7">
      <c r="A2470" s="21" t="s">
        <v>2554</v>
      </c>
      <c r="B2470" s="26" t="s">
        <v>163</v>
      </c>
      <c r="C2470" s="22" t="s">
        <v>45</v>
      </c>
      <c r="D2470" s="23">
        <v>1</v>
      </c>
      <c r="E2470" s="24">
        <f>SUM($D$2:D2470)/SUM($D$2:$D$2846)</f>
        <v>0.96805437553101104</v>
      </c>
      <c r="F2470" s="22" t="s">
        <v>53</v>
      </c>
      <c r="G2470" s="25" t="s">
        <v>164</v>
      </c>
    </row>
    <row r="2471" spans="1:7">
      <c r="A2471" s="21" t="s">
        <v>2555</v>
      </c>
      <c r="B2471" s="22" t="s">
        <v>56</v>
      </c>
      <c r="C2471" s="22" t="s">
        <v>124</v>
      </c>
      <c r="D2471" s="23">
        <v>1</v>
      </c>
      <c r="E2471" s="24">
        <f>SUM($D$2:D2471)/SUM($D$2:$D$2846)</f>
        <v>0.96813933729821577</v>
      </c>
      <c r="F2471" s="22" t="s">
        <v>53</v>
      </c>
      <c r="G2471" s="25" t="s">
        <v>125</v>
      </c>
    </row>
    <row r="2472" spans="1:7">
      <c r="A2472" s="21" t="s">
        <v>2556</v>
      </c>
      <c r="B2472" s="22" t="s">
        <v>56</v>
      </c>
      <c r="C2472" s="22" t="s">
        <v>124</v>
      </c>
      <c r="D2472" s="23">
        <v>1</v>
      </c>
      <c r="E2472" s="24">
        <f>SUM($D$2:D2472)/SUM($D$2:$D$2846)</f>
        <v>0.96822429906542051</v>
      </c>
      <c r="F2472" s="22" t="s">
        <v>53</v>
      </c>
      <c r="G2472" s="25" t="s">
        <v>125</v>
      </c>
    </row>
    <row r="2473" spans="1:7">
      <c r="A2473" s="21" t="s">
        <v>2557</v>
      </c>
      <c r="B2473" s="22" t="s">
        <v>56</v>
      </c>
      <c r="C2473" s="22" t="s">
        <v>124</v>
      </c>
      <c r="D2473" s="23">
        <v>1</v>
      </c>
      <c r="E2473" s="24">
        <f>SUM($D$2:D2473)/SUM($D$2:$D$2846)</f>
        <v>0.96830926083262536</v>
      </c>
      <c r="F2473" s="22" t="s">
        <v>53</v>
      </c>
      <c r="G2473" s="25" t="s">
        <v>125</v>
      </c>
    </row>
    <row r="2474" spans="1:7">
      <c r="A2474" s="21" t="s">
        <v>2558</v>
      </c>
      <c r="B2474" s="26" t="s">
        <v>163</v>
      </c>
      <c r="C2474" s="22" t="s">
        <v>45</v>
      </c>
      <c r="D2474" s="23">
        <v>1</v>
      </c>
      <c r="E2474" s="24">
        <f>SUM($D$2:D2474)/SUM($D$2:$D$2846)</f>
        <v>0.9683942225998301</v>
      </c>
      <c r="F2474" s="22" t="s">
        <v>53</v>
      </c>
      <c r="G2474" s="25" t="s">
        <v>164</v>
      </c>
    </row>
    <row r="2475" spans="1:7">
      <c r="A2475" s="21" t="s">
        <v>2559</v>
      </c>
      <c r="B2475" s="26" t="s">
        <v>163</v>
      </c>
      <c r="C2475" s="22" t="s">
        <v>45</v>
      </c>
      <c r="D2475" s="23">
        <v>1</v>
      </c>
      <c r="E2475" s="24">
        <f>SUM($D$2:D2475)/SUM($D$2:$D$2846)</f>
        <v>0.96847918436703484</v>
      </c>
      <c r="F2475" s="22" t="s">
        <v>53</v>
      </c>
      <c r="G2475" s="25" t="s">
        <v>164</v>
      </c>
    </row>
    <row r="2476" spans="1:7">
      <c r="A2476" s="21" t="s">
        <v>2560</v>
      </c>
      <c r="B2476" s="26" t="s">
        <v>163</v>
      </c>
      <c r="C2476" s="22" t="s">
        <v>45</v>
      </c>
      <c r="D2476" s="23">
        <v>1</v>
      </c>
      <c r="E2476" s="24">
        <f>SUM($D$2:D2476)/SUM($D$2:$D$2846)</f>
        <v>0.96856414613423958</v>
      </c>
      <c r="F2476" s="22" t="s">
        <v>53</v>
      </c>
      <c r="G2476" s="25" t="s">
        <v>164</v>
      </c>
    </row>
    <row r="2477" spans="1:7">
      <c r="A2477" s="21" t="s">
        <v>2561</v>
      </c>
      <c r="B2477" s="26" t="s">
        <v>163</v>
      </c>
      <c r="C2477" s="22" t="s">
        <v>45</v>
      </c>
      <c r="D2477" s="23">
        <v>1</v>
      </c>
      <c r="E2477" s="24">
        <f>SUM($D$2:D2477)/SUM($D$2:$D$2846)</f>
        <v>0.96864910790144432</v>
      </c>
      <c r="F2477" s="22" t="s">
        <v>53</v>
      </c>
      <c r="G2477" s="25" t="s">
        <v>164</v>
      </c>
    </row>
    <row r="2478" spans="1:7">
      <c r="A2478" s="21" t="s">
        <v>2562</v>
      </c>
      <c r="B2478" s="26" t="s">
        <v>163</v>
      </c>
      <c r="C2478" s="22" t="s">
        <v>45</v>
      </c>
      <c r="D2478" s="23">
        <v>1</v>
      </c>
      <c r="E2478" s="24">
        <f>SUM($D$2:D2478)/SUM($D$2:$D$2846)</f>
        <v>0.96873406966864906</v>
      </c>
      <c r="F2478" s="22" t="s">
        <v>53</v>
      </c>
      <c r="G2478" s="25" t="s">
        <v>164</v>
      </c>
    </row>
    <row r="2479" spans="1:7">
      <c r="A2479" s="21" t="s">
        <v>2563</v>
      </c>
      <c r="B2479" s="22" t="s">
        <v>56</v>
      </c>
      <c r="C2479" s="22" t="s">
        <v>124</v>
      </c>
      <c r="D2479" s="23">
        <v>1</v>
      </c>
      <c r="E2479" s="24">
        <f>SUM($D$2:D2479)/SUM($D$2:$D$2846)</f>
        <v>0.96881903143585391</v>
      </c>
      <c r="F2479" s="22" t="s">
        <v>53</v>
      </c>
      <c r="G2479" s="25" t="s">
        <v>125</v>
      </c>
    </row>
    <row r="2480" spans="1:7">
      <c r="A2480" s="21" t="s">
        <v>2564</v>
      </c>
      <c r="B2480" s="26" t="s">
        <v>163</v>
      </c>
      <c r="C2480" s="22" t="s">
        <v>45</v>
      </c>
      <c r="D2480" s="23">
        <v>1</v>
      </c>
      <c r="E2480" s="24">
        <f>SUM($D$2:D2480)/SUM($D$2:$D$2846)</f>
        <v>0.96890399320305864</v>
      </c>
      <c r="F2480" s="22" t="s">
        <v>53</v>
      </c>
      <c r="G2480" s="25" t="s">
        <v>164</v>
      </c>
    </row>
    <row r="2481" spans="1:7">
      <c r="A2481" s="21" t="s">
        <v>2565</v>
      </c>
      <c r="B2481" s="26" t="s">
        <v>163</v>
      </c>
      <c r="C2481" s="22" t="s">
        <v>45</v>
      </c>
      <c r="D2481" s="23">
        <v>1</v>
      </c>
      <c r="E2481" s="24">
        <f>SUM($D$2:D2481)/SUM($D$2:$D$2846)</f>
        <v>0.96898895497026338</v>
      </c>
      <c r="F2481" s="22" t="s">
        <v>53</v>
      </c>
      <c r="G2481" s="25" t="s">
        <v>164</v>
      </c>
    </row>
    <row r="2482" spans="1:7">
      <c r="A2482" s="21" t="s">
        <v>2566</v>
      </c>
      <c r="B2482" s="26" t="s">
        <v>163</v>
      </c>
      <c r="C2482" s="22" t="s">
        <v>45</v>
      </c>
      <c r="D2482" s="23">
        <v>1</v>
      </c>
      <c r="E2482" s="24">
        <f>SUM($D$2:D2482)/SUM($D$2:$D$2846)</f>
        <v>0.96907391673746812</v>
      </c>
      <c r="F2482" s="22" t="s">
        <v>53</v>
      </c>
      <c r="G2482" s="25" t="s">
        <v>164</v>
      </c>
    </row>
    <row r="2483" spans="1:7">
      <c r="A2483" s="21" t="s">
        <v>2567</v>
      </c>
      <c r="B2483" s="22" t="s">
        <v>56</v>
      </c>
      <c r="C2483" s="22" t="s">
        <v>124</v>
      </c>
      <c r="D2483" s="23">
        <v>1</v>
      </c>
      <c r="E2483" s="24">
        <f>SUM($D$2:D2483)/SUM($D$2:$D$2846)</f>
        <v>0.96915887850467286</v>
      </c>
      <c r="F2483" s="22" t="s">
        <v>53</v>
      </c>
      <c r="G2483" s="25" t="s">
        <v>125</v>
      </c>
    </row>
    <row r="2484" spans="1:7">
      <c r="A2484" s="21" t="s">
        <v>2568</v>
      </c>
      <c r="B2484" s="22" t="s">
        <v>56</v>
      </c>
      <c r="C2484" s="22" t="s">
        <v>124</v>
      </c>
      <c r="D2484" s="23">
        <v>1</v>
      </c>
      <c r="E2484" s="24">
        <f>SUM($D$2:D2484)/SUM($D$2:$D$2846)</f>
        <v>0.96924384027187771</v>
      </c>
      <c r="F2484" s="22" t="s">
        <v>53</v>
      </c>
      <c r="G2484" s="25" t="s">
        <v>125</v>
      </c>
    </row>
    <row r="2485" spans="1:7">
      <c r="A2485" s="21" t="s">
        <v>2569</v>
      </c>
      <c r="B2485" s="26" t="s">
        <v>163</v>
      </c>
      <c r="C2485" s="22" t="s">
        <v>45</v>
      </c>
      <c r="D2485" s="23">
        <v>1</v>
      </c>
      <c r="E2485" s="24">
        <f>SUM($D$2:D2485)/SUM($D$2:$D$2846)</f>
        <v>0.96932880203908245</v>
      </c>
      <c r="F2485" s="22" t="s">
        <v>53</v>
      </c>
      <c r="G2485" s="25" t="s">
        <v>164</v>
      </c>
    </row>
    <row r="2486" spans="1:7">
      <c r="A2486" s="21" t="s">
        <v>2570</v>
      </c>
      <c r="B2486" s="22" t="s">
        <v>56</v>
      </c>
      <c r="C2486" s="22" t="s">
        <v>124</v>
      </c>
      <c r="D2486" s="23">
        <v>1</v>
      </c>
      <c r="E2486" s="24">
        <f>SUM($D$2:D2486)/SUM($D$2:$D$2846)</f>
        <v>0.96941376380628719</v>
      </c>
      <c r="F2486" s="22" t="s">
        <v>53</v>
      </c>
      <c r="G2486" s="25" t="s">
        <v>125</v>
      </c>
    </row>
    <row r="2487" spans="1:7">
      <c r="A2487" s="21" t="s">
        <v>2571</v>
      </c>
      <c r="B2487" s="22" t="s">
        <v>56</v>
      </c>
      <c r="C2487" s="22" t="s">
        <v>124</v>
      </c>
      <c r="D2487" s="23">
        <v>1</v>
      </c>
      <c r="E2487" s="24">
        <f>SUM($D$2:D2487)/SUM($D$2:$D$2846)</f>
        <v>0.96949872557349193</v>
      </c>
      <c r="F2487" s="22" t="s">
        <v>53</v>
      </c>
      <c r="G2487" s="25" t="s">
        <v>125</v>
      </c>
    </row>
    <row r="2488" spans="1:7">
      <c r="A2488" s="21" t="s">
        <v>2572</v>
      </c>
      <c r="B2488" s="26" t="s">
        <v>163</v>
      </c>
      <c r="C2488" s="22" t="s">
        <v>45</v>
      </c>
      <c r="D2488" s="23">
        <v>1</v>
      </c>
      <c r="E2488" s="24">
        <f>SUM($D$2:D2488)/SUM($D$2:$D$2846)</f>
        <v>0.96958368734069666</v>
      </c>
      <c r="F2488" s="22" t="s">
        <v>53</v>
      </c>
      <c r="G2488" s="25" t="s">
        <v>164</v>
      </c>
    </row>
    <row r="2489" spans="1:7">
      <c r="A2489" s="21" t="s">
        <v>2573</v>
      </c>
      <c r="B2489" s="22" t="s">
        <v>56</v>
      </c>
      <c r="C2489" s="22" t="s">
        <v>124</v>
      </c>
      <c r="D2489" s="23">
        <v>1</v>
      </c>
      <c r="E2489" s="24">
        <f>SUM($D$2:D2489)/SUM($D$2:$D$2846)</f>
        <v>0.9696686491079014</v>
      </c>
      <c r="F2489" s="22" t="s">
        <v>53</v>
      </c>
      <c r="G2489" s="25" t="s">
        <v>125</v>
      </c>
    </row>
    <row r="2490" spans="1:7">
      <c r="A2490" s="21" t="s">
        <v>2574</v>
      </c>
      <c r="B2490" s="22" t="s">
        <v>56</v>
      </c>
      <c r="C2490" s="22" t="s">
        <v>124</v>
      </c>
      <c r="D2490" s="23">
        <v>1</v>
      </c>
      <c r="E2490" s="24">
        <f>SUM($D$2:D2490)/SUM($D$2:$D$2846)</f>
        <v>0.96975361087510625</v>
      </c>
      <c r="F2490" s="22" t="s">
        <v>53</v>
      </c>
      <c r="G2490" s="25" t="s">
        <v>125</v>
      </c>
    </row>
    <row r="2491" spans="1:7">
      <c r="A2491" s="21" t="s">
        <v>2575</v>
      </c>
      <c r="B2491" s="22" t="s">
        <v>56</v>
      </c>
      <c r="C2491" s="22" t="s">
        <v>124</v>
      </c>
      <c r="D2491" s="23">
        <v>1</v>
      </c>
      <c r="E2491" s="24">
        <f>SUM($D$2:D2491)/SUM($D$2:$D$2846)</f>
        <v>0.96983857264231099</v>
      </c>
      <c r="F2491" s="22" t="s">
        <v>53</v>
      </c>
      <c r="G2491" s="25" t="s">
        <v>125</v>
      </c>
    </row>
    <row r="2492" spans="1:7">
      <c r="A2492" s="21" t="s">
        <v>2576</v>
      </c>
      <c r="B2492" s="22" t="s">
        <v>56</v>
      </c>
      <c r="C2492" s="22" t="s">
        <v>124</v>
      </c>
      <c r="D2492" s="23">
        <v>1</v>
      </c>
      <c r="E2492" s="24">
        <f>SUM($D$2:D2492)/SUM($D$2:$D$2846)</f>
        <v>0.96992353440951573</v>
      </c>
      <c r="F2492" s="22" t="s">
        <v>53</v>
      </c>
      <c r="G2492" s="25" t="s">
        <v>125</v>
      </c>
    </row>
    <row r="2493" spans="1:7">
      <c r="A2493" s="21" t="s">
        <v>2577</v>
      </c>
      <c r="B2493" s="22" t="s">
        <v>56</v>
      </c>
      <c r="C2493" s="22" t="s">
        <v>124</v>
      </c>
      <c r="D2493" s="23">
        <v>1</v>
      </c>
      <c r="E2493" s="24">
        <f>SUM($D$2:D2493)/SUM($D$2:$D$2846)</f>
        <v>0.97000849617672047</v>
      </c>
      <c r="F2493" s="22" t="s">
        <v>53</v>
      </c>
      <c r="G2493" s="25" t="s">
        <v>125</v>
      </c>
    </row>
    <row r="2494" spans="1:7">
      <c r="A2494" s="21" t="s">
        <v>2578</v>
      </c>
      <c r="B2494" s="22" t="s">
        <v>56</v>
      </c>
      <c r="C2494" s="22" t="s">
        <v>124</v>
      </c>
      <c r="D2494" s="23">
        <v>1</v>
      </c>
      <c r="E2494" s="24">
        <f>SUM($D$2:D2494)/SUM($D$2:$D$2846)</f>
        <v>0.97009345794392521</v>
      </c>
      <c r="F2494" s="22" t="s">
        <v>53</v>
      </c>
      <c r="G2494" s="25" t="s">
        <v>125</v>
      </c>
    </row>
    <row r="2495" spans="1:7">
      <c r="A2495" s="21" t="s">
        <v>2579</v>
      </c>
      <c r="B2495" s="22" t="s">
        <v>56</v>
      </c>
      <c r="C2495" s="22" t="s">
        <v>124</v>
      </c>
      <c r="D2495" s="23">
        <v>1</v>
      </c>
      <c r="E2495" s="24">
        <f>SUM($D$2:D2495)/SUM($D$2:$D$2846)</f>
        <v>0.97017841971112995</v>
      </c>
      <c r="F2495" s="22" t="s">
        <v>53</v>
      </c>
      <c r="G2495" s="25" t="s">
        <v>125</v>
      </c>
    </row>
    <row r="2496" spans="1:7">
      <c r="A2496" s="21" t="s">
        <v>2580</v>
      </c>
      <c r="B2496" s="22" t="s">
        <v>56</v>
      </c>
      <c r="C2496" s="22" t="s">
        <v>124</v>
      </c>
      <c r="D2496" s="23">
        <v>1</v>
      </c>
      <c r="E2496" s="24">
        <f>SUM($D$2:D2496)/SUM($D$2:$D$2846)</f>
        <v>0.9702633814783348</v>
      </c>
      <c r="F2496" s="22" t="s">
        <v>53</v>
      </c>
      <c r="G2496" s="25" t="s">
        <v>125</v>
      </c>
    </row>
    <row r="2497" spans="1:7">
      <c r="A2497" s="21" t="s">
        <v>2581</v>
      </c>
      <c r="B2497" s="22" t="s">
        <v>56</v>
      </c>
      <c r="C2497" s="22" t="s">
        <v>124</v>
      </c>
      <c r="D2497" s="23">
        <v>1</v>
      </c>
      <c r="E2497" s="24">
        <f>SUM($D$2:D2497)/SUM($D$2:$D$2846)</f>
        <v>0.97034834324553954</v>
      </c>
      <c r="F2497" s="22" t="s">
        <v>53</v>
      </c>
      <c r="G2497" s="25" t="s">
        <v>125</v>
      </c>
    </row>
    <row r="2498" spans="1:7">
      <c r="A2498" s="21" t="s">
        <v>2582</v>
      </c>
      <c r="B2498" s="22" t="s">
        <v>56</v>
      </c>
      <c r="C2498" s="22" t="s">
        <v>124</v>
      </c>
      <c r="D2498" s="23">
        <v>1</v>
      </c>
      <c r="E2498" s="24">
        <f>SUM($D$2:D2498)/SUM($D$2:$D$2846)</f>
        <v>0.97043330501274427</v>
      </c>
      <c r="F2498" s="22" t="s">
        <v>53</v>
      </c>
      <c r="G2498" s="25" t="s">
        <v>125</v>
      </c>
    </row>
    <row r="2499" spans="1:7">
      <c r="A2499" s="21" t="s">
        <v>2583</v>
      </c>
      <c r="B2499" s="22" t="s">
        <v>56</v>
      </c>
      <c r="C2499" s="22" t="s">
        <v>124</v>
      </c>
      <c r="D2499" s="23">
        <v>1</v>
      </c>
      <c r="E2499" s="24">
        <f>SUM($D$2:D2499)/SUM($D$2:$D$2846)</f>
        <v>0.97051826677994901</v>
      </c>
      <c r="F2499" s="22" t="s">
        <v>53</v>
      </c>
      <c r="G2499" s="25" t="s">
        <v>125</v>
      </c>
    </row>
    <row r="2500" spans="1:7">
      <c r="A2500" s="21" t="s">
        <v>2584</v>
      </c>
      <c r="B2500" s="26" t="s">
        <v>163</v>
      </c>
      <c r="C2500" s="22" t="s">
        <v>45</v>
      </c>
      <c r="D2500" s="23">
        <v>1</v>
      </c>
      <c r="E2500" s="24">
        <f>SUM($D$2:D2500)/SUM($D$2:$D$2846)</f>
        <v>0.97060322854715375</v>
      </c>
      <c r="F2500" s="22" t="s">
        <v>53</v>
      </c>
      <c r="G2500" s="25" t="s">
        <v>164</v>
      </c>
    </row>
    <row r="2501" spans="1:7">
      <c r="A2501" s="21" t="s">
        <v>2585</v>
      </c>
      <c r="B2501" s="26" t="s">
        <v>163</v>
      </c>
      <c r="C2501" s="22" t="s">
        <v>45</v>
      </c>
      <c r="D2501" s="23">
        <v>1</v>
      </c>
      <c r="E2501" s="24">
        <f>SUM($D$2:D2501)/SUM($D$2:$D$2846)</f>
        <v>0.97068819031435849</v>
      </c>
      <c r="F2501" s="22" t="s">
        <v>53</v>
      </c>
      <c r="G2501" s="25" t="s">
        <v>164</v>
      </c>
    </row>
    <row r="2502" spans="1:7">
      <c r="A2502" s="21" t="s">
        <v>2586</v>
      </c>
      <c r="B2502" s="26" t="s">
        <v>163</v>
      </c>
      <c r="C2502" s="22" t="s">
        <v>45</v>
      </c>
      <c r="D2502" s="23">
        <v>1</v>
      </c>
      <c r="E2502" s="24">
        <f>SUM($D$2:D2502)/SUM($D$2:$D$2846)</f>
        <v>0.97077315208156334</v>
      </c>
      <c r="F2502" s="22" t="s">
        <v>53</v>
      </c>
      <c r="G2502" s="25" t="s">
        <v>164</v>
      </c>
    </row>
    <row r="2503" spans="1:7">
      <c r="A2503" s="21" t="s">
        <v>108</v>
      </c>
      <c r="B2503" s="26" t="s">
        <v>56</v>
      </c>
      <c r="C2503" s="22" t="s">
        <v>73</v>
      </c>
      <c r="D2503" s="23">
        <v>1</v>
      </c>
      <c r="E2503" s="24">
        <f>SUM($D$2:D2503)/SUM($D$2:$D$2846)</f>
        <v>0.97085811384876808</v>
      </c>
      <c r="F2503" s="22" t="s">
        <v>53</v>
      </c>
      <c r="G2503" s="25" t="s">
        <v>74</v>
      </c>
    </row>
    <row r="2504" spans="1:7">
      <c r="A2504" s="21" t="s">
        <v>2587</v>
      </c>
      <c r="B2504" s="22" t="s">
        <v>56</v>
      </c>
      <c r="C2504" s="22" t="s">
        <v>124</v>
      </c>
      <c r="D2504" s="23">
        <v>1</v>
      </c>
      <c r="E2504" s="24">
        <f>SUM($D$2:D2504)/SUM($D$2:$D$2846)</f>
        <v>0.97094307561597282</v>
      </c>
      <c r="F2504" s="22" t="s">
        <v>53</v>
      </c>
      <c r="G2504" s="25" t="s">
        <v>125</v>
      </c>
    </row>
    <row r="2505" spans="1:7">
      <c r="A2505" s="21" t="s">
        <v>2588</v>
      </c>
      <c r="B2505" s="22" t="s">
        <v>56</v>
      </c>
      <c r="C2505" s="22" t="s">
        <v>124</v>
      </c>
      <c r="D2505" s="23">
        <v>1</v>
      </c>
      <c r="E2505" s="24">
        <f>SUM($D$2:D2505)/SUM($D$2:$D$2846)</f>
        <v>0.97102803738317756</v>
      </c>
      <c r="F2505" s="22" t="s">
        <v>53</v>
      </c>
      <c r="G2505" s="25" t="s">
        <v>125</v>
      </c>
    </row>
    <row r="2506" spans="1:7">
      <c r="A2506" s="21" t="s">
        <v>2589</v>
      </c>
      <c r="B2506" s="22" t="s">
        <v>56</v>
      </c>
      <c r="C2506" s="22" t="s">
        <v>124</v>
      </c>
      <c r="D2506" s="23">
        <v>1</v>
      </c>
      <c r="E2506" s="24">
        <f>SUM($D$2:D2506)/SUM($D$2:$D$2846)</f>
        <v>0.97111299915038229</v>
      </c>
      <c r="F2506" s="22" t="s">
        <v>53</v>
      </c>
      <c r="G2506" s="25" t="s">
        <v>125</v>
      </c>
    </row>
    <row r="2507" spans="1:7">
      <c r="A2507" s="21" t="s">
        <v>2590</v>
      </c>
      <c r="B2507" s="22" t="s">
        <v>56</v>
      </c>
      <c r="C2507" s="22" t="s">
        <v>124</v>
      </c>
      <c r="D2507" s="23">
        <v>1</v>
      </c>
      <c r="E2507" s="24">
        <f>SUM($D$2:D2507)/SUM($D$2:$D$2846)</f>
        <v>0.97119796091758703</v>
      </c>
      <c r="F2507" s="22" t="s">
        <v>53</v>
      </c>
      <c r="G2507" s="25" t="s">
        <v>125</v>
      </c>
    </row>
    <row r="2508" spans="1:7">
      <c r="A2508" s="21" t="s">
        <v>109</v>
      </c>
      <c r="B2508" s="26" t="s">
        <v>56</v>
      </c>
      <c r="C2508" s="22" t="s">
        <v>45</v>
      </c>
      <c r="D2508" s="23">
        <v>1</v>
      </c>
      <c r="E2508" s="24">
        <f>SUM($D$2:D2508)/SUM($D$2:$D$2846)</f>
        <v>0.97128292268479188</v>
      </c>
      <c r="F2508" s="22" t="s">
        <v>53</v>
      </c>
      <c r="G2508" s="25" t="s">
        <v>57</v>
      </c>
    </row>
    <row r="2509" spans="1:7">
      <c r="A2509" s="21" t="s">
        <v>2591</v>
      </c>
      <c r="B2509" s="26" t="s">
        <v>163</v>
      </c>
      <c r="C2509" s="22" t="s">
        <v>45</v>
      </c>
      <c r="D2509" s="23">
        <v>1</v>
      </c>
      <c r="E2509" s="24">
        <f>SUM($D$2:D2509)/SUM($D$2:$D$2846)</f>
        <v>0.97136788445199662</v>
      </c>
      <c r="F2509" s="22" t="s">
        <v>53</v>
      </c>
      <c r="G2509" s="25" t="s">
        <v>164</v>
      </c>
    </row>
    <row r="2510" spans="1:7">
      <c r="A2510" s="21" t="s">
        <v>2592</v>
      </c>
      <c r="B2510" s="22" t="s">
        <v>56</v>
      </c>
      <c r="C2510" s="22" t="s">
        <v>124</v>
      </c>
      <c r="D2510" s="23">
        <v>1</v>
      </c>
      <c r="E2510" s="24">
        <f>SUM($D$2:D2510)/SUM($D$2:$D$2846)</f>
        <v>0.97145284621920136</v>
      </c>
      <c r="F2510" s="22" t="s">
        <v>53</v>
      </c>
      <c r="G2510" s="25" t="s">
        <v>125</v>
      </c>
    </row>
    <row r="2511" spans="1:7">
      <c r="A2511" s="21" t="s">
        <v>2593</v>
      </c>
      <c r="B2511" s="26" t="s">
        <v>163</v>
      </c>
      <c r="C2511" s="22" t="s">
        <v>45</v>
      </c>
      <c r="D2511" s="23">
        <v>1</v>
      </c>
      <c r="E2511" s="24">
        <f>SUM($D$2:D2511)/SUM($D$2:$D$2846)</f>
        <v>0.9715378079864061</v>
      </c>
      <c r="F2511" s="22" t="s">
        <v>53</v>
      </c>
      <c r="G2511" s="25" t="s">
        <v>164</v>
      </c>
    </row>
    <row r="2512" spans="1:7">
      <c r="A2512" s="21" t="s">
        <v>2594</v>
      </c>
      <c r="B2512" s="26" t="s">
        <v>163</v>
      </c>
      <c r="C2512" s="22" t="s">
        <v>45</v>
      </c>
      <c r="D2512" s="23">
        <v>1</v>
      </c>
      <c r="E2512" s="24">
        <f>SUM($D$2:D2512)/SUM($D$2:$D$2846)</f>
        <v>0.97162276975361084</v>
      </c>
      <c r="F2512" s="22" t="s">
        <v>53</v>
      </c>
      <c r="G2512" s="25" t="s">
        <v>164</v>
      </c>
    </row>
    <row r="2513" spans="1:7">
      <c r="A2513" s="21" t="s">
        <v>2595</v>
      </c>
      <c r="B2513" s="22" t="s">
        <v>56</v>
      </c>
      <c r="C2513" s="22" t="s">
        <v>124</v>
      </c>
      <c r="D2513" s="23">
        <v>1</v>
      </c>
      <c r="E2513" s="24">
        <f>SUM($D$2:D2513)/SUM($D$2:$D$2846)</f>
        <v>0.97170773152081569</v>
      </c>
      <c r="F2513" s="22" t="s">
        <v>53</v>
      </c>
      <c r="G2513" s="25" t="s">
        <v>125</v>
      </c>
    </row>
    <row r="2514" spans="1:7">
      <c r="A2514" s="21" t="s">
        <v>2596</v>
      </c>
      <c r="B2514" s="22" t="s">
        <v>56</v>
      </c>
      <c r="C2514" s="22" t="s">
        <v>124</v>
      </c>
      <c r="D2514" s="23">
        <v>1</v>
      </c>
      <c r="E2514" s="24">
        <f>SUM($D$2:D2514)/SUM($D$2:$D$2846)</f>
        <v>0.97179269328802043</v>
      </c>
      <c r="F2514" s="22" t="s">
        <v>53</v>
      </c>
      <c r="G2514" s="25" t="s">
        <v>125</v>
      </c>
    </row>
    <row r="2515" spans="1:7">
      <c r="A2515" s="21" t="s">
        <v>2597</v>
      </c>
      <c r="B2515" s="26" t="s">
        <v>163</v>
      </c>
      <c r="C2515" s="22" t="s">
        <v>45</v>
      </c>
      <c r="D2515" s="23">
        <v>1</v>
      </c>
      <c r="E2515" s="24">
        <f>SUM($D$2:D2515)/SUM($D$2:$D$2846)</f>
        <v>0.97187765505522516</v>
      </c>
      <c r="F2515" s="22" t="s">
        <v>53</v>
      </c>
      <c r="G2515" s="25" t="s">
        <v>164</v>
      </c>
    </row>
    <row r="2516" spans="1:7">
      <c r="A2516" s="21" t="s">
        <v>2598</v>
      </c>
      <c r="B2516" s="26" t="s">
        <v>163</v>
      </c>
      <c r="C2516" s="22" t="s">
        <v>45</v>
      </c>
      <c r="D2516" s="23">
        <v>1</v>
      </c>
      <c r="E2516" s="24">
        <f>SUM($D$2:D2516)/SUM($D$2:$D$2846)</f>
        <v>0.9719626168224299</v>
      </c>
      <c r="F2516" s="22" t="s">
        <v>53</v>
      </c>
      <c r="G2516" s="25" t="s">
        <v>164</v>
      </c>
    </row>
    <row r="2517" spans="1:7">
      <c r="A2517" s="21" t="s">
        <v>2599</v>
      </c>
      <c r="B2517" s="22" t="s">
        <v>56</v>
      </c>
      <c r="C2517" s="22" t="s">
        <v>124</v>
      </c>
      <c r="D2517" s="23">
        <v>1</v>
      </c>
      <c r="E2517" s="24">
        <f>SUM($D$2:D2517)/SUM($D$2:$D$2846)</f>
        <v>0.97204757858963464</v>
      </c>
      <c r="F2517" s="22" t="s">
        <v>53</v>
      </c>
      <c r="G2517" s="25" t="s">
        <v>125</v>
      </c>
    </row>
    <row r="2518" spans="1:7">
      <c r="A2518" s="21" t="s">
        <v>2600</v>
      </c>
      <c r="B2518" s="22" t="s">
        <v>56</v>
      </c>
      <c r="C2518" s="22" t="s">
        <v>124</v>
      </c>
      <c r="D2518" s="23">
        <v>1</v>
      </c>
      <c r="E2518" s="24">
        <f>SUM($D$2:D2518)/SUM($D$2:$D$2846)</f>
        <v>0.97213254035683938</v>
      </c>
      <c r="F2518" s="22" t="s">
        <v>53</v>
      </c>
      <c r="G2518" s="25" t="s">
        <v>125</v>
      </c>
    </row>
    <row r="2519" spans="1:7">
      <c r="A2519" s="21" t="s">
        <v>2601</v>
      </c>
      <c r="B2519" s="22" t="s">
        <v>56</v>
      </c>
      <c r="C2519" s="22" t="s">
        <v>124</v>
      </c>
      <c r="D2519" s="23">
        <v>1</v>
      </c>
      <c r="E2519" s="24">
        <f>SUM($D$2:D2519)/SUM($D$2:$D$2846)</f>
        <v>0.97221750212404423</v>
      </c>
      <c r="F2519" s="22" t="s">
        <v>53</v>
      </c>
      <c r="G2519" s="25" t="s">
        <v>125</v>
      </c>
    </row>
    <row r="2520" spans="1:7">
      <c r="A2520" s="21" t="s">
        <v>2602</v>
      </c>
      <c r="B2520" s="26" t="s">
        <v>163</v>
      </c>
      <c r="C2520" s="22" t="s">
        <v>45</v>
      </c>
      <c r="D2520" s="23">
        <v>1</v>
      </c>
      <c r="E2520" s="24">
        <f>SUM($D$2:D2520)/SUM($D$2:$D$2846)</f>
        <v>0.97230246389124897</v>
      </c>
      <c r="F2520" s="22" t="s">
        <v>53</v>
      </c>
      <c r="G2520" s="25" t="s">
        <v>164</v>
      </c>
    </row>
    <row r="2521" spans="1:7">
      <c r="A2521" s="21" t="s">
        <v>2603</v>
      </c>
      <c r="B2521" s="26" t="s">
        <v>163</v>
      </c>
      <c r="C2521" s="22" t="s">
        <v>45</v>
      </c>
      <c r="D2521" s="23">
        <v>1</v>
      </c>
      <c r="E2521" s="24">
        <f>SUM($D$2:D2521)/SUM($D$2:$D$2846)</f>
        <v>0.97238742565845371</v>
      </c>
      <c r="F2521" s="22" t="s">
        <v>53</v>
      </c>
      <c r="G2521" s="25" t="s">
        <v>164</v>
      </c>
    </row>
    <row r="2522" spans="1:7">
      <c r="A2522" s="21" t="s">
        <v>2604</v>
      </c>
      <c r="B2522" s="22" t="s">
        <v>56</v>
      </c>
      <c r="C2522" s="22" t="s">
        <v>124</v>
      </c>
      <c r="D2522" s="23">
        <v>1</v>
      </c>
      <c r="E2522" s="24">
        <f>SUM($D$2:D2522)/SUM($D$2:$D$2846)</f>
        <v>0.97247238742565845</v>
      </c>
      <c r="F2522" s="22" t="s">
        <v>53</v>
      </c>
      <c r="G2522" s="25" t="s">
        <v>125</v>
      </c>
    </row>
    <row r="2523" spans="1:7">
      <c r="A2523" s="21" t="s">
        <v>2605</v>
      </c>
      <c r="B2523" s="26" t="s">
        <v>163</v>
      </c>
      <c r="C2523" s="22" t="s">
        <v>45</v>
      </c>
      <c r="D2523" s="23">
        <v>1</v>
      </c>
      <c r="E2523" s="24">
        <f>SUM($D$2:D2523)/SUM($D$2:$D$2846)</f>
        <v>0.97255734919286319</v>
      </c>
      <c r="F2523" s="22" t="s">
        <v>53</v>
      </c>
      <c r="G2523" s="25" t="s">
        <v>164</v>
      </c>
    </row>
    <row r="2524" spans="1:7">
      <c r="A2524" s="21" t="s">
        <v>2606</v>
      </c>
      <c r="B2524" s="22" t="s">
        <v>56</v>
      </c>
      <c r="C2524" s="22" t="s">
        <v>124</v>
      </c>
      <c r="D2524" s="23">
        <v>1</v>
      </c>
      <c r="E2524" s="24">
        <f>SUM($D$2:D2524)/SUM($D$2:$D$2846)</f>
        <v>0.97264231096006792</v>
      </c>
      <c r="F2524" s="22" t="s">
        <v>53</v>
      </c>
      <c r="G2524" s="25" t="s">
        <v>125</v>
      </c>
    </row>
    <row r="2525" spans="1:7">
      <c r="A2525" s="21" t="s">
        <v>2607</v>
      </c>
      <c r="B2525" s="22" t="s">
        <v>44</v>
      </c>
      <c r="C2525" s="22" t="s">
        <v>124</v>
      </c>
      <c r="D2525" s="23">
        <v>1</v>
      </c>
      <c r="E2525" s="24">
        <f>SUM($D$2:D2525)/SUM($D$2:$D$2846)</f>
        <v>0.97272727272727277</v>
      </c>
      <c r="F2525" s="22" t="s">
        <v>53</v>
      </c>
      <c r="G2525" s="25" t="s">
        <v>194</v>
      </c>
    </row>
    <row r="2526" spans="1:7">
      <c r="A2526" s="21" t="s">
        <v>2608</v>
      </c>
      <c r="B2526" s="22" t="s">
        <v>44</v>
      </c>
      <c r="C2526" s="22" t="s">
        <v>124</v>
      </c>
      <c r="D2526" s="23">
        <v>1</v>
      </c>
      <c r="E2526" s="24">
        <f>SUM($D$2:D2526)/SUM($D$2:$D$2846)</f>
        <v>0.97281223449447751</v>
      </c>
      <c r="F2526" s="22" t="s">
        <v>53</v>
      </c>
      <c r="G2526" s="25" t="s">
        <v>194</v>
      </c>
    </row>
    <row r="2527" spans="1:7">
      <c r="A2527" s="21" t="s">
        <v>2609</v>
      </c>
      <c r="B2527" s="22" t="s">
        <v>44</v>
      </c>
      <c r="C2527" s="22" t="s">
        <v>124</v>
      </c>
      <c r="D2527" s="23">
        <v>1</v>
      </c>
      <c r="E2527" s="24">
        <f>SUM($D$2:D2527)/SUM($D$2:$D$2846)</f>
        <v>0.97289719626168225</v>
      </c>
      <c r="F2527" s="22" t="s">
        <v>53</v>
      </c>
      <c r="G2527" s="25" t="s">
        <v>194</v>
      </c>
    </row>
    <row r="2528" spans="1:7">
      <c r="A2528" s="21" t="s">
        <v>2610</v>
      </c>
      <c r="B2528" s="22" t="s">
        <v>56</v>
      </c>
      <c r="C2528" s="22" t="s">
        <v>124</v>
      </c>
      <c r="D2528" s="23">
        <v>1</v>
      </c>
      <c r="E2528" s="24">
        <f>SUM($D$2:D2528)/SUM($D$2:$D$2846)</f>
        <v>0.97298215802888699</v>
      </c>
      <c r="F2528" s="22" t="s">
        <v>53</v>
      </c>
      <c r="G2528" s="25" t="s">
        <v>125</v>
      </c>
    </row>
    <row r="2529" spans="1:7">
      <c r="A2529" s="21" t="s">
        <v>2611</v>
      </c>
      <c r="B2529" s="22" t="s">
        <v>56</v>
      </c>
      <c r="C2529" s="22" t="s">
        <v>124</v>
      </c>
      <c r="D2529" s="23">
        <v>1</v>
      </c>
      <c r="E2529" s="24">
        <f>SUM($D$2:D2529)/SUM($D$2:$D$2846)</f>
        <v>0.97306711979609173</v>
      </c>
      <c r="F2529" s="22" t="s">
        <v>53</v>
      </c>
      <c r="G2529" s="25" t="s">
        <v>125</v>
      </c>
    </row>
    <row r="2530" spans="1:7">
      <c r="A2530" s="21" t="s">
        <v>2612</v>
      </c>
      <c r="B2530" s="22" t="s">
        <v>56</v>
      </c>
      <c r="C2530" s="22" t="s">
        <v>124</v>
      </c>
      <c r="D2530" s="23">
        <v>1</v>
      </c>
      <c r="E2530" s="24">
        <f>SUM($D$2:D2530)/SUM($D$2:$D$2846)</f>
        <v>0.97315208156329647</v>
      </c>
      <c r="F2530" s="22" t="s">
        <v>53</v>
      </c>
      <c r="G2530" s="25" t="s">
        <v>125</v>
      </c>
    </row>
    <row r="2531" spans="1:7">
      <c r="A2531" s="21" t="s">
        <v>2613</v>
      </c>
      <c r="B2531" s="22" t="s">
        <v>56</v>
      </c>
      <c r="C2531" s="22" t="s">
        <v>124</v>
      </c>
      <c r="D2531" s="23">
        <v>1</v>
      </c>
      <c r="E2531" s="24">
        <f>SUM($D$2:D2531)/SUM($D$2:$D$2846)</f>
        <v>0.97323704333050132</v>
      </c>
      <c r="F2531" s="22" t="s">
        <v>53</v>
      </c>
      <c r="G2531" s="25" t="s">
        <v>125</v>
      </c>
    </row>
    <row r="2532" spans="1:7">
      <c r="A2532" s="21" t="s">
        <v>2614</v>
      </c>
      <c r="B2532" s="22" t="s">
        <v>56</v>
      </c>
      <c r="C2532" s="22" t="s">
        <v>124</v>
      </c>
      <c r="D2532" s="23">
        <v>1</v>
      </c>
      <c r="E2532" s="24">
        <f>SUM($D$2:D2532)/SUM($D$2:$D$2846)</f>
        <v>0.97332200509770606</v>
      </c>
      <c r="F2532" s="22" t="s">
        <v>53</v>
      </c>
      <c r="G2532" s="25" t="s">
        <v>125</v>
      </c>
    </row>
    <row r="2533" spans="1:7">
      <c r="A2533" s="21" t="s">
        <v>2615</v>
      </c>
      <c r="B2533" s="26" t="s">
        <v>163</v>
      </c>
      <c r="C2533" s="22" t="s">
        <v>45</v>
      </c>
      <c r="D2533" s="23">
        <v>1</v>
      </c>
      <c r="E2533" s="24">
        <f>SUM($D$2:D2533)/SUM($D$2:$D$2846)</f>
        <v>0.97340696686491079</v>
      </c>
      <c r="F2533" s="22" t="s">
        <v>53</v>
      </c>
      <c r="G2533" s="25" t="s">
        <v>164</v>
      </c>
    </row>
    <row r="2534" spans="1:7">
      <c r="A2534" s="21" t="s">
        <v>2616</v>
      </c>
      <c r="B2534" s="22" t="s">
        <v>56</v>
      </c>
      <c r="C2534" s="22" t="s">
        <v>124</v>
      </c>
      <c r="D2534" s="23">
        <v>1</v>
      </c>
      <c r="E2534" s="24">
        <f>SUM($D$2:D2534)/SUM($D$2:$D$2846)</f>
        <v>0.97349192863211553</v>
      </c>
      <c r="F2534" s="22" t="s">
        <v>53</v>
      </c>
      <c r="G2534" s="25" t="s">
        <v>125</v>
      </c>
    </row>
    <row r="2535" spans="1:7">
      <c r="A2535" s="21" t="s">
        <v>2617</v>
      </c>
      <c r="B2535" s="22" t="s">
        <v>44</v>
      </c>
      <c r="C2535" s="22" t="s">
        <v>124</v>
      </c>
      <c r="D2535" s="23">
        <v>1</v>
      </c>
      <c r="E2535" s="24">
        <f>SUM($D$2:D2535)/SUM($D$2:$D$2846)</f>
        <v>0.97357689039932027</v>
      </c>
      <c r="F2535" s="22" t="s">
        <v>53</v>
      </c>
      <c r="G2535" s="25" t="s">
        <v>194</v>
      </c>
    </row>
    <row r="2536" spans="1:7">
      <c r="A2536" s="21" t="s">
        <v>2618</v>
      </c>
      <c r="B2536" s="22" t="s">
        <v>44</v>
      </c>
      <c r="C2536" s="22" t="s">
        <v>124</v>
      </c>
      <c r="D2536" s="23">
        <v>1</v>
      </c>
      <c r="E2536" s="24">
        <f>SUM($D$2:D2536)/SUM($D$2:$D$2846)</f>
        <v>0.97366185216652501</v>
      </c>
      <c r="F2536" s="22" t="s">
        <v>53</v>
      </c>
      <c r="G2536" s="25" t="s">
        <v>194</v>
      </c>
    </row>
    <row r="2537" spans="1:7">
      <c r="A2537" s="21" t="s">
        <v>2619</v>
      </c>
      <c r="B2537" s="22" t="s">
        <v>44</v>
      </c>
      <c r="C2537" s="22" t="s">
        <v>124</v>
      </c>
      <c r="D2537" s="23">
        <v>1</v>
      </c>
      <c r="E2537" s="24">
        <f>SUM($D$2:D2537)/SUM($D$2:$D$2846)</f>
        <v>0.97374681393372986</v>
      </c>
      <c r="F2537" s="22" t="s">
        <v>53</v>
      </c>
      <c r="G2537" s="25" t="s">
        <v>194</v>
      </c>
    </row>
    <row r="2538" spans="1:7">
      <c r="A2538" s="21" t="s">
        <v>2620</v>
      </c>
      <c r="B2538" s="22" t="s">
        <v>129</v>
      </c>
      <c r="C2538" s="22" t="s">
        <v>124</v>
      </c>
      <c r="D2538" s="23">
        <v>1</v>
      </c>
      <c r="E2538" s="24">
        <f>SUM($D$2:D2538)/SUM($D$2:$D$2846)</f>
        <v>0.9738317757009346</v>
      </c>
      <c r="F2538" s="22" t="s">
        <v>53</v>
      </c>
      <c r="G2538" s="25" t="s">
        <v>130</v>
      </c>
    </row>
    <row r="2539" spans="1:7">
      <c r="A2539" s="21" t="s">
        <v>2621</v>
      </c>
      <c r="B2539" s="22" t="s">
        <v>56</v>
      </c>
      <c r="C2539" s="22" t="s">
        <v>124</v>
      </c>
      <c r="D2539" s="23">
        <v>1</v>
      </c>
      <c r="E2539" s="24">
        <f>SUM($D$2:D2539)/SUM($D$2:$D$2846)</f>
        <v>0.97391673746813934</v>
      </c>
      <c r="F2539" s="22" t="s">
        <v>53</v>
      </c>
      <c r="G2539" s="25" t="s">
        <v>125</v>
      </c>
    </row>
    <row r="2540" spans="1:7">
      <c r="A2540" s="21" t="s">
        <v>2622</v>
      </c>
      <c r="B2540" s="22" t="s">
        <v>44</v>
      </c>
      <c r="C2540" s="22" t="s">
        <v>124</v>
      </c>
      <c r="D2540" s="23">
        <v>1</v>
      </c>
      <c r="E2540" s="24">
        <f>SUM($D$2:D2540)/SUM($D$2:$D$2846)</f>
        <v>0.97400169923534408</v>
      </c>
      <c r="F2540" s="22" t="s">
        <v>53</v>
      </c>
      <c r="G2540" s="25" t="s">
        <v>194</v>
      </c>
    </row>
    <row r="2541" spans="1:7">
      <c r="A2541" s="21" t="s">
        <v>2623</v>
      </c>
      <c r="B2541" s="22" t="s">
        <v>44</v>
      </c>
      <c r="C2541" s="22" t="s">
        <v>124</v>
      </c>
      <c r="D2541" s="23">
        <v>1</v>
      </c>
      <c r="E2541" s="24">
        <f>SUM($D$2:D2541)/SUM($D$2:$D$2846)</f>
        <v>0.97408666100254881</v>
      </c>
      <c r="F2541" s="22" t="s">
        <v>53</v>
      </c>
      <c r="G2541" s="25" t="s">
        <v>194</v>
      </c>
    </row>
    <row r="2542" spans="1:7">
      <c r="A2542" s="21" t="s">
        <v>2624</v>
      </c>
      <c r="B2542" s="22" t="s">
        <v>44</v>
      </c>
      <c r="C2542" s="22" t="s">
        <v>124</v>
      </c>
      <c r="D2542" s="23">
        <v>1</v>
      </c>
      <c r="E2542" s="24">
        <f>SUM($D$2:D2542)/SUM($D$2:$D$2846)</f>
        <v>0.97417162276975366</v>
      </c>
      <c r="F2542" s="22" t="s">
        <v>53</v>
      </c>
      <c r="G2542" s="25" t="s">
        <v>194</v>
      </c>
    </row>
    <row r="2543" spans="1:7">
      <c r="A2543" s="21" t="s">
        <v>2625</v>
      </c>
      <c r="B2543" s="22" t="s">
        <v>56</v>
      </c>
      <c r="C2543" s="22" t="s">
        <v>124</v>
      </c>
      <c r="D2543" s="23">
        <v>1</v>
      </c>
      <c r="E2543" s="24">
        <f>SUM($D$2:D2543)/SUM($D$2:$D$2846)</f>
        <v>0.9742565845369584</v>
      </c>
      <c r="F2543" s="22" t="s">
        <v>53</v>
      </c>
      <c r="G2543" s="25" t="s">
        <v>125</v>
      </c>
    </row>
    <row r="2544" spans="1:7">
      <c r="A2544" s="21" t="s">
        <v>2626</v>
      </c>
      <c r="B2544" s="22" t="s">
        <v>56</v>
      </c>
      <c r="C2544" s="22" t="s">
        <v>124</v>
      </c>
      <c r="D2544" s="23">
        <v>1</v>
      </c>
      <c r="E2544" s="24">
        <f>SUM($D$2:D2544)/SUM($D$2:$D$2846)</f>
        <v>0.97434154630416314</v>
      </c>
      <c r="F2544" s="22" t="s">
        <v>53</v>
      </c>
      <c r="G2544" s="25" t="s">
        <v>125</v>
      </c>
    </row>
    <row r="2545" spans="1:7">
      <c r="A2545" s="21" t="s">
        <v>2627</v>
      </c>
      <c r="B2545" s="22" t="s">
        <v>56</v>
      </c>
      <c r="C2545" s="22" t="s">
        <v>124</v>
      </c>
      <c r="D2545" s="23">
        <v>1</v>
      </c>
      <c r="E2545" s="24">
        <f>SUM($D$2:D2545)/SUM($D$2:$D$2846)</f>
        <v>0.97442650807136788</v>
      </c>
      <c r="F2545" s="22" t="s">
        <v>53</v>
      </c>
      <c r="G2545" s="25" t="s">
        <v>125</v>
      </c>
    </row>
    <row r="2546" spans="1:7">
      <c r="A2546" s="21" t="s">
        <v>2628</v>
      </c>
      <c r="B2546" s="22" t="s">
        <v>56</v>
      </c>
      <c r="C2546" s="22" t="s">
        <v>124</v>
      </c>
      <c r="D2546" s="23">
        <v>1</v>
      </c>
      <c r="E2546" s="24">
        <f>SUM($D$2:D2546)/SUM($D$2:$D$2846)</f>
        <v>0.97451146983857262</v>
      </c>
      <c r="F2546" s="22" t="s">
        <v>53</v>
      </c>
      <c r="G2546" s="25" t="s">
        <v>125</v>
      </c>
    </row>
    <row r="2547" spans="1:7">
      <c r="A2547" s="21" t="s">
        <v>2629</v>
      </c>
      <c r="B2547" s="22" t="s">
        <v>56</v>
      </c>
      <c r="C2547" s="22" t="s">
        <v>124</v>
      </c>
      <c r="D2547" s="23">
        <v>1</v>
      </c>
      <c r="E2547" s="24">
        <f>SUM($D$2:D2547)/SUM($D$2:$D$2846)</f>
        <v>0.97459643160577736</v>
      </c>
      <c r="F2547" s="22" t="s">
        <v>53</v>
      </c>
      <c r="G2547" s="25" t="s">
        <v>125</v>
      </c>
    </row>
    <row r="2548" spans="1:7">
      <c r="A2548" s="21" t="s">
        <v>2630</v>
      </c>
      <c r="B2548" s="22" t="s">
        <v>56</v>
      </c>
      <c r="C2548" s="22" t="s">
        <v>124</v>
      </c>
      <c r="D2548" s="23">
        <v>1</v>
      </c>
      <c r="E2548" s="24">
        <f>SUM($D$2:D2548)/SUM($D$2:$D$2846)</f>
        <v>0.97468139337298221</v>
      </c>
      <c r="F2548" s="22" t="s">
        <v>53</v>
      </c>
      <c r="G2548" s="25" t="s">
        <v>125</v>
      </c>
    </row>
    <row r="2549" spans="1:7">
      <c r="A2549" s="21" t="s">
        <v>2631</v>
      </c>
      <c r="B2549" s="22" t="s">
        <v>129</v>
      </c>
      <c r="C2549" s="22" t="s">
        <v>124</v>
      </c>
      <c r="D2549" s="23">
        <v>1</v>
      </c>
      <c r="E2549" s="24">
        <f>SUM($D$2:D2549)/SUM($D$2:$D$2846)</f>
        <v>0.97476635514018695</v>
      </c>
      <c r="F2549" s="22" t="s">
        <v>53</v>
      </c>
      <c r="G2549" s="25" t="s">
        <v>130</v>
      </c>
    </row>
    <row r="2550" spans="1:7">
      <c r="A2550" s="21" t="s">
        <v>2632</v>
      </c>
      <c r="B2550" s="22" t="s">
        <v>56</v>
      </c>
      <c r="C2550" s="22" t="s">
        <v>124</v>
      </c>
      <c r="D2550" s="23">
        <v>1</v>
      </c>
      <c r="E2550" s="24">
        <f>SUM($D$2:D2550)/SUM($D$2:$D$2846)</f>
        <v>0.97485131690739169</v>
      </c>
      <c r="F2550" s="22" t="s">
        <v>53</v>
      </c>
      <c r="G2550" s="25" t="s">
        <v>125</v>
      </c>
    </row>
    <row r="2551" spans="1:7">
      <c r="A2551" s="21" t="s">
        <v>2633</v>
      </c>
      <c r="B2551" s="22" t="s">
        <v>56</v>
      </c>
      <c r="C2551" s="22" t="s">
        <v>124</v>
      </c>
      <c r="D2551" s="23">
        <v>1</v>
      </c>
      <c r="E2551" s="24">
        <f>SUM($D$2:D2551)/SUM($D$2:$D$2846)</f>
        <v>0.97493627867459642</v>
      </c>
      <c r="F2551" s="22" t="s">
        <v>53</v>
      </c>
      <c r="G2551" s="25" t="s">
        <v>125</v>
      </c>
    </row>
    <row r="2552" spans="1:7">
      <c r="A2552" s="21" t="s">
        <v>2634</v>
      </c>
      <c r="B2552" s="26" t="s">
        <v>163</v>
      </c>
      <c r="C2552" s="22" t="s">
        <v>45</v>
      </c>
      <c r="D2552" s="23">
        <v>1</v>
      </c>
      <c r="E2552" s="24">
        <f>SUM($D$2:D2552)/SUM($D$2:$D$2846)</f>
        <v>0.97502124044180116</v>
      </c>
      <c r="F2552" s="22" t="s">
        <v>53</v>
      </c>
      <c r="G2552" s="25" t="s">
        <v>164</v>
      </c>
    </row>
    <row r="2553" spans="1:7">
      <c r="A2553" s="21" t="s">
        <v>2635</v>
      </c>
      <c r="B2553" s="26" t="s">
        <v>163</v>
      </c>
      <c r="C2553" s="22" t="s">
        <v>45</v>
      </c>
      <c r="D2553" s="23">
        <v>1</v>
      </c>
      <c r="E2553" s="24">
        <f>SUM($D$2:D2553)/SUM($D$2:$D$2846)</f>
        <v>0.9751062022090059</v>
      </c>
      <c r="F2553" s="22" t="s">
        <v>53</v>
      </c>
      <c r="G2553" s="25" t="s">
        <v>164</v>
      </c>
    </row>
    <row r="2554" spans="1:7">
      <c r="A2554" s="21" t="s">
        <v>2636</v>
      </c>
      <c r="B2554" s="22" t="s">
        <v>56</v>
      </c>
      <c r="C2554" s="22" t="s">
        <v>124</v>
      </c>
      <c r="D2554" s="23">
        <v>1</v>
      </c>
      <c r="E2554" s="24">
        <f>SUM($D$2:D2554)/SUM($D$2:$D$2846)</f>
        <v>0.97519116397621075</v>
      </c>
      <c r="F2554" s="22" t="s">
        <v>53</v>
      </c>
      <c r="G2554" s="25" t="s">
        <v>125</v>
      </c>
    </row>
    <row r="2555" spans="1:7">
      <c r="A2555" s="21" t="s">
        <v>2637</v>
      </c>
      <c r="B2555" s="22" t="s">
        <v>56</v>
      </c>
      <c r="C2555" s="22" t="s">
        <v>124</v>
      </c>
      <c r="D2555" s="23">
        <v>1</v>
      </c>
      <c r="E2555" s="24">
        <f>SUM($D$2:D2555)/SUM($D$2:$D$2846)</f>
        <v>0.97527612574341549</v>
      </c>
      <c r="F2555" s="22" t="s">
        <v>53</v>
      </c>
      <c r="G2555" s="25" t="s">
        <v>125</v>
      </c>
    </row>
    <row r="2556" spans="1:7">
      <c r="A2556" s="21" t="s">
        <v>2638</v>
      </c>
      <c r="B2556" s="22" t="s">
        <v>56</v>
      </c>
      <c r="C2556" s="22" t="s">
        <v>124</v>
      </c>
      <c r="D2556" s="23">
        <v>1</v>
      </c>
      <c r="E2556" s="24">
        <f>SUM($D$2:D2556)/SUM($D$2:$D$2846)</f>
        <v>0.97536108751062023</v>
      </c>
      <c r="F2556" s="22" t="s">
        <v>53</v>
      </c>
      <c r="G2556" s="25" t="s">
        <v>125</v>
      </c>
    </row>
    <row r="2557" spans="1:7">
      <c r="A2557" s="21" t="s">
        <v>2639</v>
      </c>
      <c r="B2557" s="26" t="s">
        <v>163</v>
      </c>
      <c r="C2557" s="22" t="s">
        <v>45</v>
      </c>
      <c r="D2557" s="23">
        <v>1</v>
      </c>
      <c r="E2557" s="24">
        <f>SUM($D$2:D2557)/SUM($D$2:$D$2846)</f>
        <v>0.97544604927782497</v>
      </c>
      <c r="F2557" s="22" t="s">
        <v>53</v>
      </c>
      <c r="G2557" s="25" t="s">
        <v>164</v>
      </c>
    </row>
    <row r="2558" spans="1:7">
      <c r="A2558" s="21" t="s">
        <v>2640</v>
      </c>
      <c r="B2558" s="26" t="s">
        <v>163</v>
      </c>
      <c r="C2558" s="22" t="s">
        <v>45</v>
      </c>
      <c r="D2558" s="23">
        <v>1</v>
      </c>
      <c r="E2558" s="24">
        <f>SUM($D$2:D2558)/SUM($D$2:$D$2846)</f>
        <v>0.97553101104502971</v>
      </c>
      <c r="F2558" s="22" t="s">
        <v>53</v>
      </c>
      <c r="G2558" s="25" t="s">
        <v>164</v>
      </c>
    </row>
    <row r="2559" spans="1:7">
      <c r="A2559" s="21" t="s">
        <v>2641</v>
      </c>
      <c r="B2559" s="22" t="s">
        <v>56</v>
      </c>
      <c r="C2559" s="22" t="s">
        <v>124</v>
      </c>
      <c r="D2559" s="23">
        <v>1</v>
      </c>
      <c r="E2559" s="24">
        <f>SUM($D$2:D2559)/SUM($D$2:$D$2846)</f>
        <v>0.97561597281223444</v>
      </c>
      <c r="F2559" s="22" t="s">
        <v>53</v>
      </c>
      <c r="G2559" s="25" t="s">
        <v>125</v>
      </c>
    </row>
    <row r="2560" spans="1:7">
      <c r="A2560" s="21" t="s">
        <v>2642</v>
      </c>
      <c r="B2560" s="26" t="s">
        <v>163</v>
      </c>
      <c r="C2560" s="22" t="s">
        <v>45</v>
      </c>
      <c r="D2560" s="23">
        <v>1</v>
      </c>
      <c r="E2560" s="24">
        <f>SUM($D$2:D2560)/SUM($D$2:$D$2846)</f>
        <v>0.97570093457943929</v>
      </c>
      <c r="F2560" s="22" t="s">
        <v>53</v>
      </c>
      <c r="G2560" s="25" t="s">
        <v>164</v>
      </c>
    </row>
    <row r="2561" spans="1:7">
      <c r="A2561" s="21" t="s">
        <v>2643</v>
      </c>
      <c r="B2561" s="26" t="s">
        <v>163</v>
      </c>
      <c r="C2561" s="22" t="s">
        <v>45</v>
      </c>
      <c r="D2561" s="23">
        <v>1</v>
      </c>
      <c r="E2561" s="24">
        <f>SUM($D$2:D2561)/SUM($D$2:$D$2846)</f>
        <v>0.97578589634664403</v>
      </c>
      <c r="F2561" s="22" t="s">
        <v>53</v>
      </c>
      <c r="G2561" s="25" t="s">
        <v>164</v>
      </c>
    </row>
    <row r="2562" spans="1:7">
      <c r="A2562" s="21" t="s">
        <v>2644</v>
      </c>
      <c r="B2562" s="22" t="s">
        <v>56</v>
      </c>
      <c r="C2562" s="22" t="s">
        <v>124</v>
      </c>
      <c r="D2562" s="23">
        <v>1</v>
      </c>
      <c r="E2562" s="24">
        <f>SUM($D$2:D2562)/SUM($D$2:$D$2846)</f>
        <v>0.97587085811384877</v>
      </c>
      <c r="F2562" s="22" t="s">
        <v>53</v>
      </c>
      <c r="G2562" s="25" t="s">
        <v>125</v>
      </c>
    </row>
    <row r="2563" spans="1:7">
      <c r="A2563" s="21" t="s">
        <v>2645</v>
      </c>
      <c r="B2563" s="22" t="s">
        <v>56</v>
      </c>
      <c r="C2563" s="22" t="s">
        <v>124</v>
      </c>
      <c r="D2563" s="23">
        <v>1</v>
      </c>
      <c r="E2563" s="24">
        <f>SUM($D$2:D2563)/SUM($D$2:$D$2846)</f>
        <v>0.97595581988105351</v>
      </c>
      <c r="F2563" s="22" t="s">
        <v>53</v>
      </c>
      <c r="G2563" s="25" t="s">
        <v>125</v>
      </c>
    </row>
    <row r="2564" spans="1:7">
      <c r="A2564" s="21" t="s">
        <v>2646</v>
      </c>
      <c r="B2564" s="22" t="s">
        <v>56</v>
      </c>
      <c r="C2564" s="22" t="s">
        <v>124</v>
      </c>
      <c r="D2564" s="23">
        <v>1</v>
      </c>
      <c r="E2564" s="24">
        <f>SUM($D$2:D2564)/SUM($D$2:$D$2846)</f>
        <v>0.97604078164825825</v>
      </c>
      <c r="F2564" s="22" t="s">
        <v>53</v>
      </c>
      <c r="G2564" s="25" t="s">
        <v>125</v>
      </c>
    </row>
    <row r="2565" spans="1:7">
      <c r="A2565" s="21" t="s">
        <v>2647</v>
      </c>
      <c r="B2565" s="22" t="s">
        <v>56</v>
      </c>
      <c r="C2565" s="22" t="s">
        <v>124</v>
      </c>
      <c r="D2565" s="23">
        <v>1</v>
      </c>
      <c r="E2565" s="24">
        <f>SUM($D$2:D2565)/SUM($D$2:$D$2846)</f>
        <v>0.97612574341546299</v>
      </c>
      <c r="F2565" s="22" t="s">
        <v>53</v>
      </c>
      <c r="G2565" s="25" t="s">
        <v>125</v>
      </c>
    </row>
    <row r="2566" spans="1:7">
      <c r="A2566" s="21" t="s">
        <v>2648</v>
      </c>
      <c r="B2566" s="26" t="s">
        <v>163</v>
      </c>
      <c r="C2566" s="22" t="s">
        <v>45</v>
      </c>
      <c r="D2566" s="23">
        <v>1</v>
      </c>
      <c r="E2566" s="24">
        <f>SUM($D$2:D2566)/SUM($D$2:$D$2846)</f>
        <v>0.97621070518266784</v>
      </c>
      <c r="F2566" s="22" t="s">
        <v>53</v>
      </c>
      <c r="G2566" s="25" t="s">
        <v>164</v>
      </c>
    </row>
    <row r="2567" spans="1:7">
      <c r="A2567" s="21" t="s">
        <v>2649</v>
      </c>
      <c r="B2567" s="22" t="s">
        <v>56</v>
      </c>
      <c r="C2567" s="22" t="s">
        <v>124</v>
      </c>
      <c r="D2567" s="23">
        <v>1</v>
      </c>
      <c r="E2567" s="24">
        <f>SUM($D$2:D2567)/SUM($D$2:$D$2846)</f>
        <v>0.97629566694987258</v>
      </c>
      <c r="F2567" s="22" t="s">
        <v>53</v>
      </c>
      <c r="G2567" s="25" t="s">
        <v>125</v>
      </c>
    </row>
    <row r="2568" spans="1:7">
      <c r="A2568" s="21" t="s">
        <v>2650</v>
      </c>
      <c r="B2568" s="22" t="s">
        <v>56</v>
      </c>
      <c r="C2568" s="22" t="s">
        <v>124</v>
      </c>
      <c r="D2568" s="23">
        <v>1</v>
      </c>
      <c r="E2568" s="24">
        <f>SUM($D$2:D2568)/SUM($D$2:$D$2846)</f>
        <v>0.97638062871707731</v>
      </c>
      <c r="F2568" s="22" t="s">
        <v>53</v>
      </c>
      <c r="G2568" s="25" t="s">
        <v>125</v>
      </c>
    </row>
    <row r="2569" spans="1:7">
      <c r="A2569" s="21" t="s">
        <v>2651</v>
      </c>
      <c r="B2569" s="22" t="s">
        <v>56</v>
      </c>
      <c r="C2569" s="22" t="s">
        <v>124</v>
      </c>
      <c r="D2569" s="23">
        <v>1</v>
      </c>
      <c r="E2569" s="24">
        <f>SUM($D$2:D2569)/SUM($D$2:$D$2846)</f>
        <v>0.97646559048428205</v>
      </c>
      <c r="F2569" s="22" t="s">
        <v>53</v>
      </c>
      <c r="G2569" s="25" t="s">
        <v>125</v>
      </c>
    </row>
    <row r="2570" spans="1:7">
      <c r="A2570" s="21" t="s">
        <v>2652</v>
      </c>
      <c r="B2570" s="22" t="s">
        <v>56</v>
      </c>
      <c r="C2570" s="22" t="s">
        <v>124</v>
      </c>
      <c r="D2570" s="23">
        <v>1</v>
      </c>
      <c r="E2570" s="24">
        <f>SUM($D$2:D2570)/SUM($D$2:$D$2846)</f>
        <v>0.97655055225148679</v>
      </c>
      <c r="F2570" s="22" t="s">
        <v>53</v>
      </c>
      <c r="G2570" s="25" t="s">
        <v>125</v>
      </c>
    </row>
    <row r="2571" spans="1:7">
      <c r="A2571" s="21" t="s">
        <v>2653</v>
      </c>
      <c r="B2571" s="22" t="s">
        <v>56</v>
      </c>
      <c r="C2571" s="22" t="s">
        <v>124</v>
      </c>
      <c r="D2571" s="23">
        <v>1</v>
      </c>
      <c r="E2571" s="24">
        <f>SUM($D$2:D2571)/SUM($D$2:$D$2846)</f>
        <v>0.97663551401869164</v>
      </c>
      <c r="F2571" s="22" t="s">
        <v>53</v>
      </c>
      <c r="G2571" s="25" t="s">
        <v>125</v>
      </c>
    </row>
    <row r="2572" spans="1:7">
      <c r="A2572" s="21" t="s">
        <v>2654</v>
      </c>
      <c r="B2572" s="22" t="s">
        <v>56</v>
      </c>
      <c r="C2572" s="22" t="s">
        <v>124</v>
      </c>
      <c r="D2572" s="23">
        <v>1</v>
      </c>
      <c r="E2572" s="24">
        <f>SUM($D$2:D2572)/SUM($D$2:$D$2846)</f>
        <v>0.97672047578589638</v>
      </c>
      <c r="F2572" s="22" t="s">
        <v>53</v>
      </c>
      <c r="G2572" s="25" t="s">
        <v>125</v>
      </c>
    </row>
    <row r="2573" spans="1:7">
      <c r="A2573" s="21" t="s">
        <v>2655</v>
      </c>
      <c r="B2573" s="22" t="s">
        <v>56</v>
      </c>
      <c r="C2573" s="22" t="s">
        <v>124</v>
      </c>
      <c r="D2573" s="23">
        <v>1</v>
      </c>
      <c r="E2573" s="24">
        <f>SUM($D$2:D2573)/SUM($D$2:$D$2846)</f>
        <v>0.97680543755310112</v>
      </c>
      <c r="F2573" s="22" t="s">
        <v>53</v>
      </c>
      <c r="G2573" s="25" t="s">
        <v>125</v>
      </c>
    </row>
    <row r="2574" spans="1:7">
      <c r="A2574" s="21" t="s">
        <v>2656</v>
      </c>
      <c r="B2574" s="22" t="s">
        <v>56</v>
      </c>
      <c r="C2574" s="22" t="s">
        <v>124</v>
      </c>
      <c r="D2574" s="23">
        <v>1</v>
      </c>
      <c r="E2574" s="24">
        <f>SUM($D$2:D2574)/SUM($D$2:$D$2846)</f>
        <v>0.97689039932030586</v>
      </c>
      <c r="F2574" s="22" t="s">
        <v>53</v>
      </c>
      <c r="G2574" s="25" t="s">
        <v>125</v>
      </c>
    </row>
    <row r="2575" spans="1:7">
      <c r="A2575" s="21" t="s">
        <v>2657</v>
      </c>
      <c r="B2575" s="22" t="s">
        <v>56</v>
      </c>
      <c r="C2575" s="22" t="s">
        <v>124</v>
      </c>
      <c r="D2575" s="23">
        <v>1</v>
      </c>
      <c r="E2575" s="24">
        <f>SUM($D$2:D2575)/SUM($D$2:$D$2846)</f>
        <v>0.9769753610875106</v>
      </c>
      <c r="F2575" s="22" t="s">
        <v>53</v>
      </c>
      <c r="G2575" s="25" t="s">
        <v>125</v>
      </c>
    </row>
    <row r="2576" spans="1:7">
      <c r="A2576" s="21" t="s">
        <v>2658</v>
      </c>
      <c r="B2576" s="22" t="s">
        <v>56</v>
      </c>
      <c r="C2576" s="22" t="s">
        <v>124</v>
      </c>
      <c r="D2576" s="23">
        <v>1</v>
      </c>
      <c r="E2576" s="24">
        <f>SUM($D$2:D2576)/SUM($D$2:$D$2846)</f>
        <v>0.97706032285471534</v>
      </c>
      <c r="F2576" s="22" t="s">
        <v>53</v>
      </c>
      <c r="G2576" s="25" t="s">
        <v>125</v>
      </c>
    </row>
    <row r="2577" spans="1:7">
      <c r="A2577" s="21" t="s">
        <v>2659</v>
      </c>
      <c r="B2577" s="22" t="s">
        <v>56</v>
      </c>
      <c r="C2577" s="22" t="s">
        <v>124</v>
      </c>
      <c r="D2577" s="23">
        <v>1</v>
      </c>
      <c r="E2577" s="24">
        <f>SUM($D$2:D2577)/SUM($D$2:$D$2846)</f>
        <v>0.97714528462192018</v>
      </c>
      <c r="F2577" s="22" t="s">
        <v>53</v>
      </c>
      <c r="G2577" s="25" t="s">
        <v>125</v>
      </c>
    </row>
    <row r="2578" spans="1:7">
      <c r="A2578" s="21" t="s">
        <v>2660</v>
      </c>
      <c r="B2578" s="22" t="s">
        <v>56</v>
      </c>
      <c r="C2578" s="22" t="s">
        <v>124</v>
      </c>
      <c r="D2578" s="23">
        <v>1</v>
      </c>
      <c r="E2578" s="24">
        <f>SUM($D$2:D2578)/SUM($D$2:$D$2846)</f>
        <v>0.97723024638912492</v>
      </c>
      <c r="F2578" s="22" t="s">
        <v>53</v>
      </c>
      <c r="G2578" s="25" t="s">
        <v>125</v>
      </c>
    </row>
    <row r="2579" spans="1:7">
      <c r="A2579" s="21" t="s">
        <v>2661</v>
      </c>
      <c r="B2579" s="22" t="s">
        <v>56</v>
      </c>
      <c r="C2579" s="22" t="s">
        <v>124</v>
      </c>
      <c r="D2579" s="23">
        <v>1</v>
      </c>
      <c r="E2579" s="24">
        <f>SUM($D$2:D2579)/SUM($D$2:$D$2846)</f>
        <v>0.97731520815632966</v>
      </c>
      <c r="F2579" s="22" t="s">
        <v>53</v>
      </c>
      <c r="G2579" s="25" t="s">
        <v>125</v>
      </c>
    </row>
    <row r="2580" spans="1:7">
      <c r="A2580" s="21" t="s">
        <v>2662</v>
      </c>
      <c r="B2580" s="22" t="s">
        <v>56</v>
      </c>
      <c r="C2580" s="22" t="s">
        <v>124</v>
      </c>
      <c r="D2580" s="23">
        <v>1</v>
      </c>
      <c r="E2580" s="24">
        <f>SUM($D$2:D2580)/SUM($D$2:$D$2846)</f>
        <v>0.9774001699235344</v>
      </c>
      <c r="F2580" s="22" t="s">
        <v>53</v>
      </c>
      <c r="G2580" s="25" t="s">
        <v>125</v>
      </c>
    </row>
    <row r="2581" spans="1:7">
      <c r="A2581" s="21" t="s">
        <v>2663</v>
      </c>
      <c r="B2581" s="22" t="s">
        <v>56</v>
      </c>
      <c r="C2581" s="22" t="s">
        <v>124</v>
      </c>
      <c r="D2581" s="23">
        <v>1</v>
      </c>
      <c r="E2581" s="24">
        <f>SUM($D$2:D2581)/SUM($D$2:$D$2846)</f>
        <v>0.97748513169073914</v>
      </c>
      <c r="F2581" s="22" t="s">
        <v>53</v>
      </c>
      <c r="G2581" s="25" t="s">
        <v>125</v>
      </c>
    </row>
    <row r="2582" spans="1:7">
      <c r="A2582" s="21" t="s">
        <v>2664</v>
      </c>
      <c r="B2582" s="22" t="s">
        <v>56</v>
      </c>
      <c r="C2582" s="22" t="s">
        <v>124</v>
      </c>
      <c r="D2582" s="23">
        <v>1</v>
      </c>
      <c r="E2582" s="24">
        <f>SUM($D$2:D2582)/SUM($D$2:$D$2846)</f>
        <v>0.97757009345794388</v>
      </c>
      <c r="F2582" s="22" t="s">
        <v>53</v>
      </c>
      <c r="G2582" s="25" t="s">
        <v>125</v>
      </c>
    </row>
    <row r="2583" spans="1:7">
      <c r="A2583" s="21" t="s">
        <v>2665</v>
      </c>
      <c r="B2583" s="26" t="s">
        <v>163</v>
      </c>
      <c r="C2583" s="22" t="s">
        <v>45</v>
      </c>
      <c r="D2583" s="23">
        <v>1</v>
      </c>
      <c r="E2583" s="24">
        <f>SUM($D$2:D2583)/SUM($D$2:$D$2846)</f>
        <v>0.97765505522514873</v>
      </c>
      <c r="F2583" s="22" t="s">
        <v>53</v>
      </c>
      <c r="G2583" s="25" t="s">
        <v>164</v>
      </c>
    </row>
    <row r="2584" spans="1:7">
      <c r="A2584" s="21" t="s">
        <v>2666</v>
      </c>
      <c r="B2584" s="22" t="s">
        <v>56</v>
      </c>
      <c r="C2584" s="22" t="s">
        <v>124</v>
      </c>
      <c r="D2584" s="23">
        <v>1</v>
      </c>
      <c r="E2584" s="24">
        <f>SUM($D$2:D2584)/SUM($D$2:$D$2846)</f>
        <v>0.97774001699235347</v>
      </c>
      <c r="F2584" s="22" t="s">
        <v>53</v>
      </c>
      <c r="G2584" s="25" t="s">
        <v>125</v>
      </c>
    </row>
    <row r="2585" spans="1:7">
      <c r="A2585" s="21" t="s">
        <v>2667</v>
      </c>
      <c r="B2585" s="22" t="s">
        <v>56</v>
      </c>
      <c r="C2585" s="22" t="s">
        <v>124</v>
      </c>
      <c r="D2585" s="23">
        <v>1</v>
      </c>
      <c r="E2585" s="24">
        <f>SUM($D$2:D2585)/SUM($D$2:$D$2846)</f>
        <v>0.97782497875955821</v>
      </c>
      <c r="F2585" s="22" t="s">
        <v>53</v>
      </c>
      <c r="G2585" s="25" t="s">
        <v>125</v>
      </c>
    </row>
    <row r="2586" spans="1:7">
      <c r="A2586" s="21" t="s">
        <v>2668</v>
      </c>
      <c r="B2586" s="26" t="s">
        <v>163</v>
      </c>
      <c r="C2586" s="22" t="s">
        <v>45</v>
      </c>
      <c r="D2586" s="23">
        <v>1</v>
      </c>
      <c r="E2586" s="24">
        <f>SUM($D$2:D2586)/SUM($D$2:$D$2846)</f>
        <v>0.97790994052676294</v>
      </c>
      <c r="F2586" s="22" t="s">
        <v>53</v>
      </c>
      <c r="G2586" s="25" t="s">
        <v>164</v>
      </c>
    </row>
    <row r="2587" spans="1:7">
      <c r="A2587" s="21" t="s">
        <v>2669</v>
      </c>
      <c r="B2587" s="26" t="s">
        <v>163</v>
      </c>
      <c r="C2587" s="22" t="s">
        <v>45</v>
      </c>
      <c r="D2587" s="23">
        <v>1</v>
      </c>
      <c r="E2587" s="24">
        <f>SUM($D$2:D2587)/SUM($D$2:$D$2846)</f>
        <v>0.97799490229396768</v>
      </c>
      <c r="F2587" s="22" t="s">
        <v>53</v>
      </c>
      <c r="G2587" s="25" t="s">
        <v>164</v>
      </c>
    </row>
    <row r="2588" spans="1:7">
      <c r="A2588" s="21" t="s">
        <v>2670</v>
      </c>
      <c r="B2588" s="22" t="s">
        <v>56</v>
      </c>
      <c r="C2588" s="22" t="s">
        <v>124</v>
      </c>
      <c r="D2588" s="23">
        <v>1</v>
      </c>
      <c r="E2588" s="24">
        <f>SUM($D$2:D2588)/SUM($D$2:$D$2846)</f>
        <v>0.97807986406117242</v>
      </c>
      <c r="F2588" s="22" t="s">
        <v>53</v>
      </c>
      <c r="G2588" s="25" t="s">
        <v>125</v>
      </c>
    </row>
    <row r="2589" spans="1:7">
      <c r="A2589" s="21" t="s">
        <v>2671</v>
      </c>
      <c r="B2589" s="22" t="s">
        <v>56</v>
      </c>
      <c r="C2589" s="22" t="s">
        <v>124</v>
      </c>
      <c r="D2589" s="23">
        <v>1</v>
      </c>
      <c r="E2589" s="24">
        <f>SUM($D$2:D2589)/SUM($D$2:$D$2846)</f>
        <v>0.97816482582837727</v>
      </c>
      <c r="F2589" s="22" t="s">
        <v>53</v>
      </c>
      <c r="G2589" s="25" t="s">
        <v>125</v>
      </c>
    </row>
    <row r="2590" spans="1:7">
      <c r="A2590" s="21" t="s">
        <v>2672</v>
      </c>
      <c r="B2590" s="22" t="s">
        <v>56</v>
      </c>
      <c r="C2590" s="22" t="s">
        <v>124</v>
      </c>
      <c r="D2590" s="23">
        <v>1</v>
      </c>
      <c r="E2590" s="24">
        <f>SUM($D$2:D2590)/SUM($D$2:$D$2846)</f>
        <v>0.97824978759558201</v>
      </c>
      <c r="F2590" s="22" t="s">
        <v>53</v>
      </c>
      <c r="G2590" s="25" t="s">
        <v>125</v>
      </c>
    </row>
    <row r="2591" spans="1:7">
      <c r="A2591" s="21" t="s">
        <v>2673</v>
      </c>
      <c r="B2591" s="26" t="s">
        <v>163</v>
      </c>
      <c r="C2591" s="22" t="s">
        <v>45</v>
      </c>
      <c r="D2591" s="23">
        <v>1</v>
      </c>
      <c r="E2591" s="24">
        <f>SUM($D$2:D2591)/SUM($D$2:$D$2846)</f>
        <v>0.97833474936278675</v>
      </c>
      <c r="F2591" s="22" t="s">
        <v>53</v>
      </c>
      <c r="G2591" s="25" t="s">
        <v>164</v>
      </c>
    </row>
    <row r="2592" spans="1:7">
      <c r="A2592" s="21" t="s">
        <v>2674</v>
      </c>
      <c r="B2592" s="22" t="s">
        <v>56</v>
      </c>
      <c r="C2592" s="22" t="s">
        <v>124</v>
      </c>
      <c r="D2592" s="23">
        <v>1</v>
      </c>
      <c r="E2592" s="24">
        <f>SUM($D$2:D2592)/SUM($D$2:$D$2846)</f>
        <v>0.97841971112999149</v>
      </c>
      <c r="F2592" s="22" t="s">
        <v>53</v>
      </c>
      <c r="G2592" s="25" t="s">
        <v>125</v>
      </c>
    </row>
    <row r="2593" spans="1:7">
      <c r="A2593" s="21" t="s">
        <v>2675</v>
      </c>
      <c r="B2593" s="26" t="s">
        <v>163</v>
      </c>
      <c r="C2593" s="22" t="s">
        <v>45</v>
      </c>
      <c r="D2593" s="23">
        <v>1</v>
      </c>
      <c r="E2593" s="24">
        <f>SUM($D$2:D2593)/SUM($D$2:$D$2846)</f>
        <v>0.97850467289719623</v>
      </c>
      <c r="F2593" s="22" t="s">
        <v>53</v>
      </c>
      <c r="G2593" s="25" t="s">
        <v>164</v>
      </c>
    </row>
    <row r="2594" spans="1:7">
      <c r="A2594" s="21" t="s">
        <v>2676</v>
      </c>
      <c r="B2594" s="22" t="s">
        <v>56</v>
      </c>
      <c r="C2594" s="22" t="s">
        <v>124</v>
      </c>
      <c r="D2594" s="23">
        <v>1</v>
      </c>
      <c r="E2594" s="24">
        <f>SUM($D$2:D2594)/SUM($D$2:$D$2846)</f>
        <v>0.97858963466440096</v>
      </c>
      <c r="F2594" s="22" t="s">
        <v>53</v>
      </c>
      <c r="G2594" s="25" t="s">
        <v>125</v>
      </c>
    </row>
    <row r="2595" spans="1:7">
      <c r="A2595" s="21" t="s">
        <v>2677</v>
      </c>
      <c r="B2595" s="22" t="s">
        <v>56</v>
      </c>
      <c r="C2595" s="22" t="s">
        <v>124</v>
      </c>
      <c r="D2595" s="23">
        <v>1</v>
      </c>
      <c r="E2595" s="24">
        <f>SUM($D$2:D2595)/SUM($D$2:$D$2846)</f>
        <v>0.97867459643160581</v>
      </c>
      <c r="F2595" s="22" t="s">
        <v>53</v>
      </c>
      <c r="G2595" s="25" t="s">
        <v>125</v>
      </c>
    </row>
    <row r="2596" spans="1:7">
      <c r="A2596" s="21" t="s">
        <v>2678</v>
      </c>
      <c r="B2596" s="22" t="s">
        <v>56</v>
      </c>
      <c r="C2596" s="22" t="s">
        <v>124</v>
      </c>
      <c r="D2596" s="23">
        <v>1</v>
      </c>
      <c r="E2596" s="24">
        <f>SUM($D$2:D2596)/SUM($D$2:$D$2846)</f>
        <v>0.97875955819881055</v>
      </c>
      <c r="F2596" s="22" t="s">
        <v>53</v>
      </c>
      <c r="G2596" s="25" t="s">
        <v>125</v>
      </c>
    </row>
    <row r="2597" spans="1:7">
      <c r="A2597" s="21" t="s">
        <v>2679</v>
      </c>
      <c r="B2597" s="22" t="s">
        <v>56</v>
      </c>
      <c r="C2597" s="22" t="s">
        <v>124</v>
      </c>
      <c r="D2597" s="23">
        <v>1</v>
      </c>
      <c r="E2597" s="24">
        <f>SUM($D$2:D2597)/SUM($D$2:$D$2846)</f>
        <v>0.97884451996601529</v>
      </c>
      <c r="F2597" s="22" t="s">
        <v>53</v>
      </c>
      <c r="G2597" s="25" t="s">
        <v>125</v>
      </c>
    </row>
    <row r="2598" spans="1:7">
      <c r="A2598" s="21" t="s">
        <v>2680</v>
      </c>
      <c r="B2598" s="22" t="s">
        <v>56</v>
      </c>
      <c r="C2598" s="22" t="s">
        <v>124</v>
      </c>
      <c r="D2598" s="23">
        <v>1</v>
      </c>
      <c r="E2598" s="24">
        <f>SUM($D$2:D2598)/SUM($D$2:$D$2846)</f>
        <v>0.97892948173322003</v>
      </c>
      <c r="F2598" s="22" t="s">
        <v>53</v>
      </c>
      <c r="G2598" s="25" t="s">
        <v>125</v>
      </c>
    </row>
    <row r="2599" spans="1:7">
      <c r="A2599" s="21" t="s">
        <v>2681</v>
      </c>
      <c r="B2599" s="22" t="s">
        <v>56</v>
      </c>
      <c r="C2599" s="22" t="s">
        <v>124</v>
      </c>
      <c r="D2599" s="23">
        <v>1</v>
      </c>
      <c r="E2599" s="24">
        <f>SUM($D$2:D2599)/SUM($D$2:$D$2846)</f>
        <v>0.97901444350042477</v>
      </c>
      <c r="F2599" s="22" t="s">
        <v>53</v>
      </c>
      <c r="G2599" s="25" t="s">
        <v>125</v>
      </c>
    </row>
    <row r="2600" spans="1:7">
      <c r="A2600" s="21" t="s">
        <v>2682</v>
      </c>
      <c r="B2600" s="22" t="s">
        <v>56</v>
      </c>
      <c r="C2600" s="22" t="s">
        <v>124</v>
      </c>
      <c r="D2600" s="23">
        <v>1</v>
      </c>
      <c r="E2600" s="24">
        <f>SUM($D$2:D2600)/SUM($D$2:$D$2846)</f>
        <v>0.97909940526762962</v>
      </c>
      <c r="F2600" s="22" t="s">
        <v>53</v>
      </c>
      <c r="G2600" s="25" t="s">
        <v>125</v>
      </c>
    </row>
    <row r="2601" spans="1:7">
      <c r="A2601" s="21" t="s">
        <v>110</v>
      </c>
      <c r="B2601" s="26" t="s">
        <v>56</v>
      </c>
      <c r="C2601" s="22" t="s">
        <v>45</v>
      </c>
      <c r="D2601" s="23">
        <v>1</v>
      </c>
      <c r="E2601" s="24">
        <f>SUM($D$2:D2601)/SUM($D$2:$D$2846)</f>
        <v>0.97918436703483436</v>
      </c>
      <c r="F2601" s="22" t="s">
        <v>53</v>
      </c>
      <c r="G2601" s="25" t="s">
        <v>57</v>
      </c>
    </row>
    <row r="2602" spans="1:7">
      <c r="A2602" s="21" t="s">
        <v>2683</v>
      </c>
      <c r="B2602" s="22" t="s">
        <v>56</v>
      </c>
      <c r="C2602" s="22" t="s">
        <v>124</v>
      </c>
      <c r="D2602" s="23">
        <v>1</v>
      </c>
      <c r="E2602" s="24">
        <f>SUM($D$2:D2602)/SUM($D$2:$D$2846)</f>
        <v>0.9792693288020391</v>
      </c>
      <c r="F2602" s="22" t="s">
        <v>53</v>
      </c>
      <c r="G2602" s="25" t="s">
        <v>125</v>
      </c>
    </row>
    <row r="2603" spans="1:7">
      <c r="A2603" s="21" t="s">
        <v>2684</v>
      </c>
      <c r="B2603" s="22" t="s">
        <v>56</v>
      </c>
      <c r="C2603" s="22" t="s">
        <v>124</v>
      </c>
      <c r="D2603" s="23">
        <v>1</v>
      </c>
      <c r="E2603" s="24">
        <f>SUM($D$2:D2603)/SUM($D$2:$D$2846)</f>
        <v>0.97935429056924383</v>
      </c>
      <c r="F2603" s="22" t="s">
        <v>53</v>
      </c>
      <c r="G2603" s="25" t="s">
        <v>125</v>
      </c>
    </row>
    <row r="2604" spans="1:7">
      <c r="A2604" s="21" t="s">
        <v>2685</v>
      </c>
      <c r="B2604" s="22" t="s">
        <v>56</v>
      </c>
      <c r="C2604" s="22" t="s">
        <v>124</v>
      </c>
      <c r="D2604" s="23">
        <v>1</v>
      </c>
      <c r="E2604" s="24">
        <f>SUM($D$2:D2604)/SUM($D$2:$D$2846)</f>
        <v>0.97943925233644857</v>
      </c>
      <c r="F2604" s="22" t="s">
        <v>53</v>
      </c>
      <c r="G2604" s="25" t="s">
        <v>125</v>
      </c>
    </row>
    <row r="2605" spans="1:7">
      <c r="A2605" s="21" t="s">
        <v>2686</v>
      </c>
      <c r="B2605" s="22" t="s">
        <v>56</v>
      </c>
      <c r="C2605" s="22" t="s">
        <v>124</v>
      </c>
      <c r="D2605" s="23">
        <v>1</v>
      </c>
      <c r="E2605" s="24">
        <f>SUM($D$2:D2605)/SUM($D$2:$D$2846)</f>
        <v>0.97952421410365331</v>
      </c>
      <c r="F2605" s="22" t="s">
        <v>53</v>
      </c>
      <c r="G2605" s="25" t="s">
        <v>125</v>
      </c>
    </row>
    <row r="2606" spans="1:7">
      <c r="A2606" s="21" t="s">
        <v>2687</v>
      </c>
      <c r="B2606" s="22" t="s">
        <v>56</v>
      </c>
      <c r="C2606" s="22" t="s">
        <v>124</v>
      </c>
      <c r="D2606" s="23">
        <v>1</v>
      </c>
      <c r="E2606" s="24">
        <f>SUM($D$2:D2606)/SUM($D$2:$D$2846)</f>
        <v>0.97960917587085816</v>
      </c>
      <c r="F2606" s="22" t="s">
        <v>53</v>
      </c>
      <c r="G2606" s="25" t="s">
        <v>125</v>
      </c>
    </row>
    <row r="2607" spans="1:7">
      <c r="A2607" s="21" t="s">
        <v>2688</v>
      </c>
      <c r="B2607" s="22" t="s">
        <v>56</v>
      </c>
      <c r="C2607" s="22" t="s">
        <v>124</v>
      </c>
      <c r="D2607" s="23">
        <v>1</v>
      </c>
      <c r="E2607" s="24">
        <f>SUM($D$2:D2607)/SUM($D$2:$D$2846)</f>
        <v>0.9796941376380629</v>
      </c>
      <c r="F2607" s="22" t="s">
        <v>53</v>
      </c>
      <c r="G2607" s="25" t="s">
        <v>125</v>
      </c>
    </row>
    <row r="2608" spans="1:7">
      <c r="A2608" s="21" t="s">
        <v>111</v>
      </c>
      <c r="B2608" s="26" t="s">
        <v>56</v>
      </c>
      <c r="C2608" s="22" t="s">
        <v>45</v>
      </c>
      <c r="D2608" s="23">
        <v>1</v>
      </c>
      <c r="E2608" s="24">
        <f>SUM($D$2:D2608)/SUM($D$2:$D$2846)</f>
        <v>0.97977909940526764</v>
      </c>
      <c r="F2608" s="22" t="s">
        <v>53</v>
      </c>
      <c r="G2608" s="25" t="s">
        <v>57</v>
      </c>
    </row>
    <row r="2609" spans="1:7">
      <c r="A2609" s="21" t="s">
        <v>2689</v>
      </c>
      <c r="B2609" s="22" t="s">
        <v>56</v>
      </c>
      <c r="C2609" s="22" t="s">
        <v>124</v>
      </c>
      <c r="D2609" s="23">
        <v>1</v>
      </c>
      <c r="E2609" s="24">
        <f>SUM($D$2:D2609)/SUM($D$2:$D$2846)</f>
        <v>0.97986406117247238</v>
      </c>
      <c r="F2609" s="22" t="s">
        <v>53</v>
      </c>
      <c r="G2609" s="25" t="s">
        <v>125</v>
      </c>
    </row>
    <row r="2610" spans="1:7">
      <c r="A2610" s="21" t="s">
        <v>2690</v>
      </c>
      <c r="B2610" s="22" t="s">
        <v>56</v>
      </c>
      <c r="C2610" s="22" t="s">
        <v>124</v>
      </c>
      <c r="D2610" s="23">
        <v>1</v>
      </c>
      <c r="E2610" s="24">
        <f>SUM($D$2:D2610)/SUM($D$2:$D$2846)</f>
        <v>0.97994902293967712</v>
      </c>
      <c r="F2610" s="22" t="s">
        <v>53</v>
      </c>
      <c r="G2610" s="25" t="s">
        <v>125</v>
      </c>
    </row>
    <row r="2611" spans="1:7">
      <c r="A2611" s="21" t="s">
        <v>112</v>
      </c>
      <c r="B2611" s="26" t="s">
        <v>56</v>
      </c>
      <c r="C2611" s="22" t="s">
        <v>45</v>
      </c>
      <c r="D2611" s="23">
        <v>1</v>
      </c>
      <c r="E2611" s="24">
        <f>SUM($D$2:D2611)/SUM($D$2:$D$2846)</f>
        <v>0.98003398470688186</v>
      </c>
      <c r="F2611" s="22" t="s">
        <v>53</v>
      </c>
      <c r="G2611" s="25" t="s">
        <v>57</v>
      </c>
    </row>
    <row r="2612" spans="1:7">
      <c r="A2612" s="21" t="s">
        <v>2691</v>
      </c>
      <c r="B2612" s="22" t="s">
        <v>56</v>
      </c>
      <c r="C2612" s="22" t="s">
        <v>124</v>
      </c>
      <c r="D2612" s="23">
        <v>1</v>
      </c>
      <c r="E2612" s="24">
        <f>SUM($D$2:D2612)/SUM($D$2:$D$2846)</f>
        <v>0.98011894647408671</v>
      </c>
      <c r="F2612" s="22" t="s">
        <v>53</v>
      </c>
      <c r="G2612" s="25" t="s">
        <v>125</v>
      </c>
    </row>
    <row r="2613" spans="1:7">
      <c r="A2613" s="21" t="s">
        <v>2692</v>
      </c>
      <c r="B2613" s="22" t="s">
        <v>56</v>
      </c>
      <c r="C2613" s="22" t="s">
        <v>124</v>
      </c>
      <c r="D2613" s="23">
        <v>1</v>
      </c>
      <c r="E2613" s="24">
        <f>SUM($D$2:D2613)/SUM($D$2:$D$2846)</f>
        <v>0.98020390824129144</v>
      </c>
      <c r="F2613" s="22" t="s">
        <v>53</v>
      </c>
      <c r="G2613" s="25" t="s">
        <v>125</v>
      </c>
    </row>
    <row r="2614" spans="1:7">
      <c r="A2614" s="21" t="s">
        <v>2693</v>
      </c>
      <c r="B2614" s="22" t="s">
        <v>56</v>
      </c>
      <c r="C2614" s="22" t="s">
        <v>124</v>
      </c>
      <c r="D2614" s="23">
        <v>1</v>
      </c>
      <c r="E2614" s="24">
        <f>SUM($D$2:D2614)/SUM($D$2:$D$2846)</f>
        <v>0.98028887000849618</v>
      </c>
      <c r="F2614" s="22" t="s">
        <v>53</v>
      </c>
      <c r="G2614" s="25" t="s">
        <v>125</v>
      </c>
    </row>
    <row r="2615" spans="1:7">
      <c r="A2615" s="21" t="s">
        <v>2694</v>
      </c>
      <c r="B2615" s="26" t="s">
        <v>163</v>
      </c>
      <c r="C2615" s="22" t="s">
        <v>45</v>
      </c>
      <c r="D2615" s="23">
        <v>1</v>
      </c>
      <c r="E2615" s="24">
        <f>SUM($D$2:D2615)/SUM($D$2:$D$2846)</f>
        <v>0.98037383177570092</v>
      </c>
      <c r="F2615" s="22" t="s">
        <v>53</v>
      </c>
      <c r="G2615" s="25" t="s">
        <v>164</v>
      </c>
    </row>
    <row r="2616" spans="1:7">
      <c r="A2616" s="21" t="s">
        <v>2695</v>
      </c>
      <c r="B2616" s="22" t="s">
        <v>56</v>
      </c>
      <c r="C2616" s="22" t="s">
        <v>124</v>
      </c>
      <c r="D2616" s="23">
        <v>1</v>
      </c>
      <c r="E2616" s="24">
        <f>SUM($D$2:D2616)/SUM($D$2:$D$2846)</f>
        <v>0.98045879354290566</v>
      </c>
      <c r="F2616" s="22" t="s">
        <v>53</v>
      </c>
      <c r="G2616" s="25" t="s">
        <v>125</v>
      </c>
    </row>
    <row r="2617" spans="1:7">
      <c r="A2617" s="21" t="s">
        <v>2696</v>
      </c>
      <c r="B2617" s="22" t="s">
        <v>56</v>
      </c>
      <c r="C2617" s="22" t="s">
        <v>124</v>
      </c>
      <c r="D2617" s="23">
        <v>1</v>
      </c>
      <c r="E2617" s="24">
        <f>SUM($D$2:D2617)/SUM($D$2:$D$2846)</f>
        <v>0.9805437553101104</v>
      </c>
      <c r="F2617" s="22" t="s">
        <v>53</v>
      </c>
      <c r="G2617" s="25" t="s">
        <v>125</v>
      </c>
    </row>
    <row r="2618" spans="1:7">
      <c r="A2618" s="21" t="s">
        <v>113</v>
      </c>
      <c r="B2618" s="26" t="s">
        <v>56</v>
      </c>
      <c r="C2618" s="22" t="s">
        <v>45</v>
      </c>
      <c r="D2618" s="23">
        <v>1</v>
      </c>
      <c r="E2618" s="24">
        <f>SUM($D$2:D2618)/SUM($D$2:$D$2846)</f>
        <v>0.98062871707731525</v>
      </c>
      <c r="F2618" s="22" t="s">
        <v>53</v>
      </c>
      <c r="G2618" s="25" t="s">
        <v>57</v>
      </c>
    </row>
    <row r="2619" spans="1:7">
      <c r="A2619" s="21" t="s">
        <v>2697</v>
      </c>
      <c r="B2619" s="22" t="s">
        <v>56</v>
      </c>
      <c r="C2619" s="22" t="s">
        <v>124</v>
      </c>
      <c r="D2619" s="23">
        <v>1</v>
      </c>
      <c r="E2619" s="24">
        <f>SUM($D$2:D2619)/SUM($D$2:$D$2846)</f>
        <v>0.98071367884451999</v>
      </c>
      <c r="F2619" s="22" t="s">
        <v>53</v>
      </c>
      <c r="G2619" s="25" t="s">
        <v>125</v>
      </c>
    </row>
    <row r="2620" spans="1:7">
      <c r="A2620" s="21" t="s">
        <v>2698</v>
      </c>
      <c r="B2620" s="22" t="s">
        <v>56</v>
      </c>
      <c r="C2620" s="22" t="s">
        <v>124</v>
      </c>
      <c r="D2620" s="23">
        <v>1</v>
      </c>
      <c r="E2620" s="24">
        <f>SUM($D$2:D2620)/SUM($D$2:$D$2846)</f>
        <v>0.98079864061172473</v>
      </c>
      <c r="F2620" s="22" t="s">
        <v>53</v>
      </c>
      <c r="G2620" s="25" t="s">
        <v>125</v>
      </c>
    </row>
    <row r="2621" spans="1:7">
      <c r="A2621" s="21" t="s">
        <v>2699</v>
      </c>
      <c r="B2621" s="26" t="s">
        <v>163</v>
      </c>
      <c r="C2621" s="22" t="s">
        <v>45</v>
      </c>
      <c r="D2621" s="23">
        <v>1</v>
      </c>
      <c r="E2621" s="24">
        <f>SUM($D$2:D2621)/SUM($D$2:$D$2846)</f>
        <v>0.98088360237892946</v>
      </c>
      <c r="F2621" s="22" t="s">
        <v>53</v>
      </c>
      <c r="G2621" s="25" t="s">
        <v>164</v>
      </c>
    </row>
    <row r="2622" spans="1:7">
      <c r="A2622" s="21" t="s">
        <v>2700</v>
      </c>
      <c r="B2622" s="26" t="s">
        <v>163</v>
      </c>
      <c r="C2622" s="22" t="s">
        <v>45</v>
      </c>
      <c r="D2622" s="23">
        <v>1</v>
      </c>
      <c r="E2622" s="24">
        <f>SUM($D$2:D2622)/SUM($D$2:$D$2846)</f>
        <v>0.9809685641461342</v>
      </c>
      <c r="F2622" s="22" t="s">
        <v>53</v>
      </c>
      <c r="G2622" s="25" t="s">
        <v>164</v>
      </c>
    </row>
    <row r="2623" spans="1:7">
      <c r="A2623" s="21" t="s">
        <v>2701</v>
      </c>
      <c r="B2623" s="22" t="s">
        <v>56</v>
      </c>
      <c r="C2623" s="22" t="s">
        <v>124</v>
      </c>
      <c r="D2623" s="23">
        <v>1</v>
      </c>
      <c r="E2623" s="24">
        <f>SUM($D$2:D2623)/SUM($D$2:$D$2846)</f>
        <v>0.98105352591333905</v>
      </c>
      <c r="F2623" s="22" t="s">
        <v>53</v>
      </c>
      <c r="G2623" s="25" t="s">
        <v>125</v>
      </c>
    </row>
    <row r="2624" spans="1:7">
      <c r="A2624" s="21" t="s">
        <v>2702</v>
      </c>
      <c r="B2624" s="22" t="s">
        <v>56</v>
      </c>
      <c r="C2624" s="22" t="s">
        <v>124</v>
      </c>
      <c r="D2624" s="23">
        <v>1</v>
      </c>
      <c r="E2624" s="24">
        <f>SUM($D$2:D2624)/SUM($D$2:$D$2846)</f>
        <v>0.98113848768054379</v>
      </c>
      <c r="F2624" s="22" t="s">
        <v>53</v>
      </c>
      <c r="G2624" s="25" t="s">
        <v>125</v>
      </c>
    </row>
    <row r="2625" spans="1:7">
      <c r="A2625" s="21" t="s">
        <v>2703</v>
      </c>
      <c r="B2625" s="26" t="s">
        <v>163</v>
      </c>
      <c r="C2625" s="22" t="s">
        <v>45</v>
      </c>
      <c r="D2625" s="23">
        <v>1</v>
      </c>
      <c r="E2625" s="24">
        <f>SUM($D$2:D2625)/SUM($D$2:$D$2846)</f>
        <v>0.98122344944774853</v>
      </c>
      <c r="F2625" s="22" t="s">
        <v>53</v>
      </c>
      <c r="G2625" s="25" t="s">
        <v>164</v>
      </c>
    </row>
    <row r="2626" spans="1:7">
      <c r="A2626" s="21" t="s">
        <v>2704</v>
      </c>
      <c r="B2626" s="22" t="s">
        <v>56</v>
      </c>
      <c r="C2626" s="22" t="s">
        <v>124</v>
      </c>
      <c r="D2626" s="23">
        <v>1</v>
      </c>
      <c r="E2626" s="24">
        <f>SUM($D$2:D2626)/SUM($D$2:$D$2846)</f>
        <v>0.98130841121495327</v>
      </c>
      <c r="F2626" s="22" t="s">
        <v>53</v>
      </c>
      <c r="G2626" s="25" t="s">
        <v>125</v>
      </c>
    </row>
    <row r="2627" spans="1:7">
      <c r="A2627" s="21" t="s">
        <v>2705</v>
      </c>
      <c r="B2627" s="22" t="s">
        <v>56</v>
      </c>
      <c r="C2627" s="22" t="s">
        <v>124</v>
      </c>
      <c r="D2627" s="23">
        <v>1</v>
      </c>
      <c r="E2627" s="24">
        <f>SUM($D$2:D2627)/SUM($D$2:$D$2846)</f>
        <v>0.98139337298215801</v>
      </c>
      <c r="F2627" s="22" t="s">
        <v>53</v>
      </c>
      <c r="G2627" s="25" t="s">
        <v>125</v>
      </c>
    </row>
    <row r="2628" spans="1:7">
      <c r="A2628" s="21" t="s">
        <v>2706</v>
      </c>
      <c r="B2628" s="26" t="s">
        <v>163</v>
      </c>
      <c r="C2628" s="22" t="s">
        <v>45</v>
      </c>
      <c r="D2628" s="23">
        <v>1</v>
      </c>
      <c r="E2628" s="24">
        <f>SUM($D$2:D2628)/SUM($D$2:$D$2846)</f>
        <v>0.98147833474936275</v>
      </c>
      <c r="F2628" s="22" t="s">
        <v>53</v>
      </c>
      <c r="G2628" s="25" t="s">
        <v>164</v>
      </c>
    </row>
    <row r="2629" spans="1:7">
      <c r="A2629" s="21" t="s">
        <v>114</v>
      </c>
      <c r="B2629" s="26" t="s">
        <v>56</v>
      </c>
      <c r="C2629" s="22" t="s">
        <v>73</v>
      </c>
      <c r="D2629" s="23">
        <v>1</v>
      </c>
      <c r="E2629" s="24">
        <f>SUM($D$2:D2629)/SUM($D$2:$D$2846)</f>
        <v>0.9815632965165676</v>
      </c>
      <c r="F2629" s="22" t="s">
        <v>53</v>
      </c>
      <c r="G2629" s="25" t="s">
        <v>74</v>
      </c>
    </row>
    <row r="2630" spans="1:7">
      <c r="A2630" s="21" t="s">
        <v>2707</v>
      </c>
      <c r="B2630" s="22" t="s">
        <v>56</v>
      </c>
      <c r="C2630" s="22" t="s">
        <v>124</v>
      </c>
      <c r="D2630" s="23">
        <v>1</v>
      </c>
      <c r="E2630" s="24">
        <f>SUM($D$2:D2630)/SUM($D$2:$D$2846)</f>
        <v>0.98164825828377233</v>
      </c>
      <c r="F2630" s="22" t="s">
        <v>53</v>
      </c>
      <c r="G2630" s="25" t="s">
        <v>125</v>
      </c>
    </row>
    <row r="2631" spans="1:7">
      <c r="A2631" s="21" t="s">
        <v>2708</v>
      </c>
      <c r="B2631" s="22" t="s">
        <v>56</v>
      </c>
      <c r="C2631" s="22" t="s">
        <v>124</v>
      </c>
      <c r="D2631" s="23">
        <v>1</v>
      </c>
      <c r="E2631" s="24">
        <f>SUM($D$2:D2631)/SUM($D$2:$D$2846)</f>
        <v>0.98173322005097707</v>
      </c>
      <c r="F2631" s="22" t="s">
        <v>53</v>
      </c>
      <c r="G2631" s="25" t="s">
        <v>125</v>
      </c>
    </row>
    <row r="2632" spans="1:7">
      <c r="A2632" s="21" t="s">
        <v>2709</v>
      </c>
      <c r="B2632" s="22" t="s">
        <v>56</v>
      </c>
      <c r="C2632" s="22" t="s">
        <v>124</v>
      </c>
      <c r="D2632" s="23">
        <v>1</v>
      </c>
      <c r="E2632" s="24">
        <f>SUM($D$2:D2632)/SUM($D$2:$D$2846)</f>
        <v>0.98181818181818181</v>
      </c>
      <c r="F2632" s="22" t="s">
        <v>53</v>
      </c>
      <c r="G2632" s="25" t="s">
        <v>125</v>
      </c>
    </row>
    <row r="2633" spans="1:7">
      <c r="A2633" s="21" t="s">
        <v>2710</v>
      </c>
      <c r="B2633" s="22" t="s">
        <v>56</v>
      </c>
      <c r="C2633" s="22" t="s">
        <v>124</v>
      </c>
      <c r="D2633" s="23">
        <v>1</v>
      </c>
      <c r="E2633" s="24">
        <f>SUM($D$2:D2633)/SUM($D$2:$D$2846)</f>
        <v>0.98190314358538655</v>
      </c>
      <c r="F2633" s="22" t="s">
        <v>53</v>
      </c>
      <c r="G2633" s="25" t="s">
        <v>125</v>
      </c>
    </row>
    <row r="2634" spans="1:7">
      <c r="A2634" s="21" t="s">
        <v>2711</v>
      </c>
      <c r="B2634" s="22" t="s">
        <v>56</v>
      </c>
      <c r="C2634" s="22" t="s">
        <v>124</v>
      </c>
      <c r="D2634" s="23">
        <v>1</v>
      </c>
      <c r="E2634" s="24">
        <f>SUM($D$2:D2634)/SUM($D$2:$D$2846)</f>
        <v>0.98198810535259129</v>
      </c>
      <c r="F2634" s="22" t="s">
        <v>53</v>
      </c>
      <c r="G2634" s="25" t="s">
        <v>125</v>
      </c>
    </row>
    <row r="2635" spans="1:7">
      <c r="A2635" s="21" t="s">
        <v>2712</v>
      </c>
      <c r="B2635" s="22" t="s">
        <v>56</v>
      </c>
      <c r="C2635" s="22" t="s">
        <v>124</v>
      </c>
      <c r="D2635" s="23">
        <v>1</v>
      </c>
      <c r="E2635" s="24">
        <f>SUM($D$2:D2635)/SUM($D$2:$D$2846)</f>
        <v>0.98207306711979614</v>
      </c>
      <c r="F2635" s="22" t="s">
        <v>53</v>
      </c>
      <c r="G2635" s="25" t="s">
        <v>125</v>
      </c>
    </row>
    <row r="2636" spans="1:7">
      <c r="A2636" s="21" t="s">
        <v>2713</v>
      </c>
      <c r="B2636" s="22" t="s">
        <v>56</v>
      </c>
      <c r="C2636" s="22" t="s">
        <v>124</v>
      </c>
      <c r="D2636" s="23">
        <v>1</v>
      </c>
      <c r="E2636" s="24">
        <f>SUM($D$2:D2636)/SUM($D$2:$D$2846)</f>
        <v>0.98215802888700088</v>
      </c>
      <c r="F2636" s="22" t="s">
        <v>53</v>
      </c>
      <c r="G2636" s="25" t="s">
        <v>125</v>
      </c>
    </row>
    <row r="2637" spans="1:7">
      <c r="A2637" s="21" t="s">
        <v>2714</v>
      </c>
      <c r="B2637" s="22" t="s">
        <v>56</v>
      </c>
      <c r="C2637" s="22" t="s">
        <v>124</v>
      </c>
      <c r="D2637" s="23">
        <v>1</v>
      </c>
      <c r="E2637" s="24">
        <f>SUM($D$2:D2637)/SUM($D$2:$D$2846)</f>
        <v>0.98224299065420562</v>
      </c>
      <c r="F2637" s="22" t="s">
        <v>53</v>
      </c>
      <c r="G2637" s="25" t="s">
        <v>125</v>
      </c>
    </row>
    <row r="2638" spans="1:7">
      <c r="A2638" s="21" t="s">
        <v>2715</v>
      </c>
      <c r="B2638" s="26" t="s">
        <v>163</v>
      </c>
      <c r="C2638" s="22" t="s">
        <v>45</v>
      </c>
      <c r="D2638" s="23">
        <v>1</v>
      </c>
      <c r="E2638" s="24">
        <f>SUM($D$2:D2638)/SUM($D$2:$D$2846)</f>
        <v>0.98232795242141036</v>
      </c>
      <c r="F2638" s="22" t="s">
        <v>53</v>
      </c>
      <c r="G2638" s="25" t="s">
        <v>164</v>
      </c>
    </row>
    <row r="2639" spans="1:7">
      <c r="A2639" s="21" t="s">
        <v>2716</v>
      </c>
      <c r="B2639" s="22" t="s">
        <v>56</v>
      </c>
      <c r="C2639" s="22" t="s">
        <v>124</v>
      </c>
      <c r="D2639" s="23">
        <v>1</v>
      </c>
      <c r="E2639" s="24">
        <f>SUM($D$2:D2639)/SUM($D$2:$D$2846)</f>
        <v>0.98241291418861509</v>
      </c>
      <c r="F2639" s="22" t="s">
        <v>53</v>
      </c>
      <c r="G2639" s="25" t="s">
        <v>125</v>
      </c>
    </row>
    <row r="2640" spans="1:7">
      <c r="A2640" s="21" t="s">
        <v>2717</v>
      </c>
      <c r="B2640" s="22" t="s">
        <v>56</v>
      </c>
      <c r="C2640" s="22" t="s">
        <v>124</v>
      </c>
      <c r="D2640" s="23">
        <v>1</v>
      </c>
      <c r="E2640" s="24">
        <f>SUM($D$2:D2640)/SUM($D$2:$D$2846)</f>
        <v>0.98249787595581983</v>
      </c>
      <c r="F2640" s="22" t="s">
        <v>53</v>
      </c>
      <c r="G2640" s="25" t="s">
        <v>125</v>
      </c>
    </row>
    <row r="2641" spans="1:7">
      <c r="A2641" s="21" t="s">
        <v>2718</v>
      </c>
      <c r="B2641" s="22" t="s">
        <v>56</v>
      </c>
      <c r="C2641" s="22" t="s">
        <v>124</v>
      </c>
      <c r="D2641" s="23">
        <v>1</v>
      </c>
      <c r="E2641" s="24">
        <f>SUM($D$2:D2641)/SUM($D$2:$D$2846)</f>
        <v>0.98258283772302468</v>
      </c>
      <c r="F2641" s="22" t="s">
        <v>53</v>
      </c>
      <c r="G2641" s="25" t="s">
        <v>125</v>
      </c>
    </row>
    <row r="2642" spans="1:7">
      <c r="A2642" s="21" t="s">
        <v>2719</v>
      </c>
      <c r="B2642" s="22" t="s">
        <v>56</v>
      </c>
      <c r="C2642" s="22" t="s">
        <v>124</v>
      </c>
      <c r="D2642" s="23">
        <v>1</v>
      </c>
      <c r="E2642" s="24">
        <f>SUM($D$2:D2642)/SUM($D$2:$D$2846)</f>
        <v>0.98266779949022942</v>
      </c>
      <c r="F2642" s="22" t="s">
        <v>53</v>
      </c>
      <c r="G2642" s="25" t="s">
        <v>125</v>
      </c>
    </row>
    <row r="2643" spans="1:7">
      <c r="A2643" s="21" t="s">
        <v>2720</v>
      </c>
      <c r="B2643" s="26" t="s">
        <v>163</v>
      </c>
      <c r="C2643" s="22" t="s">
        <v>45</v>
      </c>
      <c r="D2643" s="23">
        <v>1</v>
      </c>
      <c r="E2643" s="24">
        <f>SUM($D$2:D2643)/SUM($D$2:$D$2846)</f>
        <v>0.98275276125743416</v>
      </c>
      <c r="F2643" s="22" t="s">
        <v>53</v>
      </c>
      <c r="G2643" s="25" t="s">
        <v>164</v>
      </c>
    </row>
    <row r="2644" spans="1:7">
      <c r="A2644" s="21" t="s">
        <v>2721</v>
      </c>
      <c r="B2644" s="22" t="s">
        <v>56</v>
      </c>
      <c r="C2644" s="22" t="s">
        <v>124</v>
      </c>
      <c r="D2644" s="23">
        <v>1</v>
      </c>
      <c r="E2644" s="24">
        <f>SUM($D$2:D2644)/SUM($D$2:$D$2846)</f>
        <v>0.9828377230246389</v>
      </c>
      <c r="F2644" s="22" t="s">
        <v>53</v>
      </c>
      <c r="G2644" s="25" t="s">
        <v>125</v>
      </c>
    </row>
    <row r="2645" spans="1:7">
      <c r="A2645" s="21" t="s">
        <v>2722</v>
      </c>
      <c r="B2645" s="22" t="s">
        <v>56</v>
      </c>
      <c r="C2645" s="22" t="s">
        <v>124</v>
      </c>
      <c r="D2645" s="23">
        <v>1</v>
      </c>
      <c r="E2645" s="24">
        <f>SUM($D$2:D2645)/SUM($D$2:$D$2846)</f>
        <v>0.98292268479184364</v>
      </c>
      <c r="F2645" s="22" t="s">
        <v>53</v>
      </c>
      <c r="G2645" s="25" t="s">
        <v>125</v>
      </c>
    </row>
    <row r="2646" spans="1:7">
      <c r="A2646" s="21" t="s">
        <v>2723</v>
      </c>
      <c r="B2646" s="26" t="s">
        <v>163</v>
      </c>
      <c r="C2646" s="22" t="s">
        <v>45</v>
      </c>
      <c r="D2646" s="23">
        <v>1</v>
      </c>
      <c r="E2646" s="24">
        <f>SUM($D$2:D2646)/SUM($D$2:$D$2846)</f>
        <v>0.98300764655904838</v>
      </c>
      <c r="F2646" s="22" t="s">
        <v>53</v>
      </c>
      <c r="G2646" s="25" t="s">
        <v>164</v>
      </c>
    </row>
    <row r="2647" spans="1:7">
      <c r="A2647" s="21" t="s">
        <v>2724</v>
      </c>
      <c r="B2647" s="22" t="s">
        <v>56</v>
      </c>
      <c r="C2647" s="22" t="s">
        <v>124</v>
      </c>
      <c r="D2647" s="23">
        <v>1</v>
      </c>
      <c r="E2647" s="24">
        <f>SUM($D$2:D2647)/SUM($D$2:$D$2846)</f>
        <v>0.98309260832625323</v>
      </c>
      <c r="F2647" s="22" t="s">
        <v>53</v>
      </c>
      <c r="G2647" s="25" t="s">
        <v>125</v>
      </c>
    </row>
    <row r="2648" spans="1:7">
      <c r="A2648" s="21" t="s">
        <v>2725</v>
      </c>
      <c r="B2648" s="26" t="s">
        <v>163</v>
      </c>
      <c r="C2648" s="22" t="s">
        <v>45</v>
      </c>
      <c r="D2648" s="23">
        <v>1</v>
      </c>
      <c r="E2648" s="24">
        <f>SUM($D$2:D2648)/SUM($D$2:$D$2846)</f>
        <v>0.98317757009345796</v>
      </c>
      <c r="F2648" s="22" t="s">
        <v>53</v>
      </c>
      <c r="G2648" s="25" t="s">
        <v>164</v>
      </c>
    </row>
    <row r="2649" spans="1:7">
      <c r="A2649" s="21" t="s">
        <v>2726</v>
      </c>
      <c r="B2649" s="26" t="s">
        <v>163</v>
      </c>
      <c r="C2649" s="22" t="s">
        <v>45</v>
      </c>
      <c r="D2649" s="23">
        <v>1</v>
      </c>
      <c r="E2649" s="24">
        <f>SUM($D$2:D2649)/SUM($D$2:$D$2846)</f>
        <v>0.9832625318606627</v>
      </c>
      <c r="F2649" s="22" t="s">
        <v>53</v>
      </c>
      <c r="G2649" s="25" t="s">
        <v>164</v>
      </c>
    </row>
    <row r="2650" spans="1:7">
      <c r="A2650" s="21" t="s">
        <v>2727</v>
      </c>
      <c r="B2650" s="26" t="s">
        <v>163</v>
      </c>
      <c r="C2650" s="22" t="s">
        <v>45</v>
      </c>
      <c r="D2650" s="23">
        <v>1</v>
      </c>
      <c r="E2650" s="24">
        <f>SUM($D$2:D2650)/SUM($D$2:$D$2846)</f>
        <v>0.98334749362786744</v>
      </c>
      <c r="F2650" s="22" t="s">
        <v>53</v>
      </c>
      <c r="G2650" s="25" t="s">
        <v>164</v>
      </c>
    </row>
    <row r="2651" spans="1:7">
      <c r="A2651" s="21" t="s">
        <v>2728</v>
      </c>
      <c r="B2651" s="26" t="s">
        <v>163</v>
      </c>
      <c r="C2651" s="22" t="s">
        <v>45</v>
      </c>
      <c r="D2651" s="23">
        <v>1</v>
      </c>
      <c r="E2651" s="24">
        <f>SUM($D$2:D2651)/SUM($D$2:$D$2846)</f>
        <v>0.98343245539507218</v>
      </c>
      <c r="F2651" s="22" t="s">
        <v>53</v>
      </c>
      <c r="G2651" s="25" t="s">
        <v>164</v>
      </c>
    </row>
    <row r="2652" spans="1:7">
      <c r="A2652" s="21" t="s">
        <v>2729</v>
      </c>
      <c r="B2652" s="26" t="s">
        <v>163</v>
      </c>
      <c r="C2652" s="22" t="s">
        <v>45</v>
      </c>
      <c r="D2652" s="23">
        <v>1</v>
      </c>
      <c r="E2652" s="24">
        <f>SUM($D$2:D2652)/SUM($D$2:$D$2846)</f>
        <v>0.98351741716227703</v>
      </c>
      <c r="F2652" s="22" t="s">
        <v>53</v>
      </c>
      <c r="G2652" s="25" t="s">
        <v>164</v>
      </c>
    </row>
    <row r="2653" spans="1:7">
      <c r="A2653" s="21" t="s">
        <v>2730</v>
      </c>
      <c r="B2653" s="26" t="s">
        <v>163</v>
      </c>
      <c r="C2653" s="22" t="s">
        <v>45</v>
      </c>
      <c r="D2653" s="23">
        <v>1</v>
      </c>
      <c r="E2653" s="24">
        <f>SUM($D$2:D2653)/SUM($D$2:$D$2846)</f>
        <v>0.98360237892948177</v>
      </c>
      <c r="F2653" s="22" t="s">
        <v>53</v>
      </c>
      <c r="G2653" s="25" t="s">
        <v>164</v>
      </c>
    </row>
    <row r="2654" spans="1:7">
      <c r="A2654" s="21" t="s">
        <v>2731</v>
      </c>
      <c r="B2654" s="26" t="s">
        <v>163</v>
      </c>
      <c r="C2654" s="22" t="s">
        <v>45</v>
      </c>
      <c r="D2654" s="23">
        <v>1</v>
      </c>
      <c r="E2654" s="24">
        <f>SUM($D$2:D2654)/SUM($D$2:$D$2846)</f>
        <v>0.98368734069668651</v>
      </c>
      <c r="F2654" s="22" t="s">
        <v>53</v>
      </c>
      <c r="G2654" s="25" t="s">
        <v>164</v>
      </c>
    </row>
    <row r="2655" spans="1:7">
      <c r="A2655" s="21" t="s">
        <v>2732</v>
      </c>
      <c r="B2655" s="26" t="s">
        <v>163</v>
      </c>
      <c r="C2655" s="22" t="s">
        <v>45</v>
      </c>
      <c r="D2655" s="23">
        <v>1</v>
      </c>
      <c r="E2655" s="24">
        <f>SUM($D$2:D2655)/SUM($D$2:$D$2846)</f>
        <v>0.98377230246389125</v>
      </c>
      <c r="F2655" s="22" t="s">
        <v>53</v>
      </c>
      <c r="G2655" s="25" t="s">
        <v>164</v>
      </c>
    </row>
    <row r="2656" spans="1:7">
      <c r="A2656" s="21" t="s">
        <v>2733</v>
      </c>
      <c r="B2656" s="26" t="s">
        <v>163</v>
      </c>
      <c r="C2656" s="22" t="s">
        <v>45</v>
      </c>
      <c r="D2656" s="23">
        <v>1</v>
      </c>
      <c r="E2656" s="24">
        <f>SUM($D$2:D2656)/SUM($D$2:$D$2846)</f>
        <v>0.98385726423109598</v>
      </c>
      <c r="F2656" s="22" t="s">
        <v>53</v>
      </c>
      <c r="G2656" s="25" t="s">
        <v>164</v>
      </c>
    </row>
    <row r="2657" spans="1:7">
      <c r="A2657" s="21" t="s">
        <v>2734</v>
      </c>
      <c r="B2657" s="26" t="s">
        <v>163</v>
      </c>
      <c r="C2657" s="22" t="s">
        <v>45</v>
      </c>
      <c r="D2657" s="23">
        <v>1</v>
      </c>
      <c r="E2657" s="24">
        <f>SUM($D$2:D2657)/SUM($D$2:$D$2846)</f>
        <v>0.98394222599830072</v>
      </c>
      <c r="F2657" s="22" t="s">
        <v>53</v>
      </c>
      <c r="G2657" s="25" t="s">
        <v>164</v>
      </c>
    </row>
    <row r="2658" spans="1:7">
      <c r="A2658" s="21" t="s">
        <v>2735</v>
      </c>
      <c r="B2658" s="26" t="s">
        <v>163</v>
      </c>
      <c r="C2658" s="22" t="s">
        <v>45</v>
      </c>
      <c r="D2658" s="23">
        <v>1</v>
      </c>
      <c r="E2658" s="24">
        <f>SUM($D$2:D2658)/SUM($D$2:$D$2846)</f>
        <v>0.98402718776550557</v>
      </c>
      <c r="F2658" s="22" t="s">
        <v>53</v>
      </c>
      <c r="G2658" s="25" t="s">
        <v>164</v>
      </c>
    </row>
    <row r="2659" spans="1:7">
      <c r="A2659" s="21" t="s">
        <v>2736</v>
      </c>
      <c r="B2659" s="26" t="s">
        <v>163</v>
      </c>
      <c r="C2659" s="22" t="s">
        <v>45</v>
      </c>
      <c r="D2659" s="23">
        <v>1</v>
      </c>
      <c r="E2659" s="24">
        <f>SUM($D$2:D2659)/SUM($D$2:$D$2846)</f>
        <v>0.98411214953271031</v>
      </c>
      <c r="F2659" s="22" t="s">
        <v>53</v>
      </c>
      <c r="G2659" s="25" t="s">
        <v>164</v>
      </c>
    </row>
    <row r="2660" spans="1:7">
      <c r="A2660" s="21" t="s">
        <v>2737</v>
      </c>
      <c r="B2660" s="26" t="s">
        <v>163</v>
      </c>
      <c r="C2660" s="22" t="s">
        <v>45</v>
      </c>
      <c r="D2660" s="23">
        <v>1</v>
      </c>
      <c r="E2660" s="24">
        <f>SUM($D$2:D2660)/SUM($D$2:$D$2846)</f>
        <v>0.98419711129991505</v>
      </c>
      <c r="F2660" s="22" t="s">
        <v>53</v>
      </c>
      <c r="G2660" s="25" t="s">
        <v>164</v>
      </c>
    </row>
    <row r="2661" spans="1:7">
      <c r="A2661" s="21" t="s">
        <v>115</v>
      </c>
      <c r="B2661" s="26" t="s">
        <v>44</v>
      </c>
      <c r="C2661" s="22" t="s">
        <v>45</v>
      </c>
      <c r="D2661" s="23">
        <v>1</v>
      </c>
      <c r="E2661" s="24">
        <f>SUM($D$2:D2661)/SUM($D$2:$D$2846)</f>
        <v>0.98428207306711979</v>
      </c>
      <c r="F2661" s="22" t="s">
        <v>53</v>
      </c>
      <c r="G2661" s="25" t="s">
        <v>47</v>
      </c>
    </row>
    <row r="2662" spans="1:7">
      <c r="A2662" s="21" t="s">
        <v>2738</v>
      </c>
      <c r="B2662" s="26" t="s">
        <v>163</v>
      </c>
      <c r="C2662" s="22" t="s">
        <v>45</v>
      </c>
      <c r="D2662" s="23">
        <v>1</v>
      </c>
      <c r="E2662" s="24">
        <f>SUM($D$2:D2662)/SUM($D$2:$D$2846)</f>
        <v>0.98436703483432453</v>
      </c>
      <c r="F2662" s="22" t="s">
        <v>53</v>
      </c>
      <c r="G2662" s="25" t="s">
        <v>164</v>
      </c>
    </row>
    <row r="2663" spans="1:7">
      <c r="A2663" s="21" t="s">
        <v>2739</v>
      </c>
      <c r="B2663" s="26" t="s">
        <v>163</v>
      </c>
      <c r="C2663" s="22" t="s">
        <v>45</v>
      </c>
      <c r="D2663" s="23">
        <v>1</v>
      </c>
      <c r="E2663" s="24">
        <f>SUM($D$2:D2663)/SUM($D$2:$D$2846)</f>
        <v>0.98445199660152927</v>
      </c>
      <c r="F2663" s="22" t="s">
        <v>53</v>
      </c>
      <c r="G2663" s="25" t="s">
        <v>164</v>
      </c>
    </row>
    <row r="2664" spans="1:7">
      <c r="A2664" s="21" t="s">
        <v>2740</v>
      </c>
      <c r="B2664" s="26" t="s">
        <v>163</v>
      </c>
      <c r="C2664" s="22" t="s">
        <v>45</v>
      </c>
      <c r="D2664" s="23">
        <v>1</v>
      </c>
      <c r="E2664" s="24">
        <f>SUM($D$2:D2664)/SUM($D$2:$D$2846)</f>
        <v>0.98453695836873412</v>
      </c>
      <c r="F2664" s="22" t="s">
        <v>53</v>
      </c>
      <c r="G2664" s="25" t="s">
        <v>164</v>
      </c>
    </row>
    <row r="2665" spans="1:7">
      <c r="A2665" s="21" t="s">
        <v>2741</v>
      </c>
      <c r="B2665" s="26" t="s">
        <v>163</v>
      </c>
      <c r="C2665" s="22" t="s">
        <v>45</v>
      </c>
      <c r="D2665" s="23">
        <v>1</v>
      </c>
      <c r="E2665" s="24">
        <f>SUM($D$2:D2665)/SUM($D$2:$D$2846)</f>
        <v>0.98462192013593886</v>
      </c>
      <c r="F2665" s="22" t="s">
        <v>53</v>
      </c>
      <c r="G2665" s="25" t="s">
        <v>164</v>
      </c>
    </row>
    <row r="2666" spans="1:7">
      <c r="A2666" s="21" t="s">
        <v>2742</v>
      </c>
      <c r="B2666" s="22" t="s">
        <v>56</v>
      </c>
      <c r="C2666" s="22" t="s">
        <v>124</v>
      </c>
      <c r="D2666" s="23">
        <v>1</v>
      </c>
      <c r="E2666" s="24">
        <f>SUM($D$2:D2666)/SUM($D$2:$D$2846)</f>
        <v>0.98470688190314359</v>
      </c>
      <c r="F2666" s="22" t="s">
        <v>53</v>
      </c>
      <c r="G2666" s="25" t="s">
        <v>125</v>
      </c>
    </row>
    <row r="2667" spans="1:7">
      <c r="A2667" s="21" t="s">
        <v>2743</v>
      </c>
      <c r="B2667" s="22" t="s">
        <v>56</v>
      </c>
      <c r="C2667" s="22" t="s">
        <v>124</v>
      </c>
      <c r="D2667" s="23">
        <v>1</v>
      </c>
      <c r="E2667" s="24">
        <f>SUM($D$2:D2667)/SUM($D$2:$D$2846)</f>
        <v>0.98479184367034833</v>
      </c>
      <c r="F2667" s="22" t="s">
        <v>53</v>
      </c>
      <c r="G2667" s="25" t="s">
        <v>125</v>
      </c>
    </row>
    <row r="2668" spans="1:7">
      <c r="A2668" s="21" t="s">
        <v>2744</v>
      </c>
      <c r="B2668" s="22" t="s">
        <v>56</v>
      </c>
      <c r="C2668" s="22" t="s">
        <v>124</v>
      </c>
      <c r="D2668" s="23">
        <v>1</v>
      </c>
      <c r="E2668" s="24">
        <f>SUM($D$2:D2668)/SUM($D$2:$D$2846)</f>
        <v>0.98487680543755307</v>
      </c>
      <c r="F2668" s="22" t="s">
        <v>53</v>
      </c>
      <c r="G2668" s="25" t="s">
        <v>125</v>
      </c>
    </row>
    <row r="2669" spans="1:7">
      <c r="A2669" s="21" t="s">
        <v>2745</v>
      </c>
      <c r="B2669" s="26" t="s">
        <v>163</v>
      </c>
      <c r="C2669" s="22" t="s">
        <v>45</v>
      </c>
      <c r="D2669" s="23">
        <v>1</v>
      </c>
      <c r="E2669" s="24">
        <f>SUM($D$2:D2669)/SUM($D$2:$D$2846)</f>
        <v>0.98496176720475781</v>
      </c>
      <c r="F2669" s="22" t="s">
        <v>53</v>
      </c>
      <c r="G2669" s="25" t="s">
        <v>164</v>
      </c>
    </row>
    <row r="2670" spans="1:7">
      <c r="A2670" s="21" t="s">
        <v>2746</v>
      </c>
      <c r="B2670" s="22" t="s">
        <v>56</v>
      </c>
      <c r="C2670" s="22" t="s">
        <v>124</v>
      </c>
      <c r="D2670" s="23">
        <v>1</v>
      </c>
      <c r="E2670" s="24">
        <f>SUM($D$2:D2670)/SUM($D$2:$D$2846)</f>
        <v>0.98504672897196266</v>
      </c>
      <c r="F2670" s="22" t="s">
        <v>53</v>
      </c>
      <c r="G2670" s="25" t="s">
        <v>125</v>
      </c>
    </row>
    <row r="2671" spans="1:7">
      <c r="A2671" s="21" t="s">
        <v>2747</v>
      </c>
      <c r="B2671" s="22" t="s">
        <v>56</v>
      </c>
      <c r="C2671" s="22" t="s">
        <v>124</v>
      </c>
      <c r="D2671" s="23">
        <v>1</v>
      </c>
      <c r="E2671" s="24">
        <f>SUM($D$2:D2671)/SUM($D$2:$D$2846)</f>
        <v>0.9851316907391674</v>
      </c>
      <c r="F2671" s="22" t="s">
        <v>53</v>
      </c>
      <c r="G2671" s="25" t="s">
        <v>125</v>
      </c>
    </row>
    <row r="2672" spans="1:7">
      <c r="A2672" s="21" t="s">
        <v>2748</v>
      </c>
      <c r="B2672" s="26" t="s">
        <v>163</v>
      </c>
      <c r="C2672" s="22" t="s">
        <v>45</v>
      </c>
      <c r="D2672" s="23">
        <v>1</v>
      </c>
      <c r="E2672" s="24">
        <f>SUM($D$2:D2672)/SUM($D$2:$D$2846)</f>
        <v>0.98521665250637214</v>
      </c>
      <c r="F2672" s="22" t="s">
        <v>53</v>
      </c>
      <c r="G2672" s="25" t="s">
        <v>164</v>
      </c>
    </row>
    <row r="2673" spans="1:7">
      <c r="A2673" s="21" t="s">
        <v>2749</v>
      </c>
      <c r="B2673" s="26" t="s">
        <v>163</v>
      </c>
      <c r="C2673" s="22" t="s">
        <v>45</v>
      </c>
      <c r="D2673" s="23">
        <v>1</v>
      </c>
      <c r="E2673" s="24">
        <f>SUM($D$2:D2673)/SUM($D$2:$D$2846)</f>
        <v>0.98530161427357688</v>
      </c>
      <c r="F2673" s="22" t="s">
        <v>53</v>
      </c>
      <c r="G2673" s="25" t="s">
        <v>164</v>
      </c>
    </row>
    <row r="2674" spans="1:7">
      <c r="A2674" s="21" t="s">
        <v>116</v>
      </c>
      <c r="B2674" s="26" t="s">
        <v>163</v>
      </c>
      <c r="C2674" s="22" t="s">
        <v>73</v>
      </c>
      <c r="D2674" s="23">
        <v>1</v>
      </c>
      <c r="E2674" s="24">
        <f>SUM($D$2:D2674)/SUM($D$2:$D$2846)</f>
        <v>0.98538657604078161</v>
      </c>
      <c r="F2674" s="22" t="s">
        <v>53</v>
      </c>
      <c r="G2674" s="25" t="s">
        <v>74</v>
      </c>
    </row>
    <row r="2675" spans="1:7">
      <c r="A2675" s="21" t="s">
        <v>2750</v>
      </c>
      <c r="B2675" s="22" t="s">
        <v>56</v>
      </c>
      <c r="C2675" s="22" t="s">
        <v>124</v>
      </c>
      <c r="D2675" s="23">
        <v>1</v>
      </c>
      <c r="E2675" s="24">
        <f>SUM($D$2:D2675)/SUM($D$2:$D$2846)</f>
        <v>0.98547153780798635</v>
      </c>
      <c r="F2675" s="22" t="s">
        <v>53</v>
      </c>
      <c r="G2675" s="25" t="s">
        <v>125</v>
      </c>
    </row>
    <row r="2676" spans="1:7">
      <c r="A2676" s="21" t="s">
        <v>2751</v>
      </c>
      <c r="B2676" s="22" t="s">
        <v>56</v>
      </c>
      <c r="C2676" s="22" t="s">
        <v>124</v>
      </c>
      <c r="D2676" s="23">
        <v>1</v>
      </c>
      <c r="E2676" s="24">
        <f>SUM($D$2:D2676)/SUM($D$2:$D$2846)</f>
        <v>0.9855564995751912</v>
      </c>
      <c r="F2676" s="22" t="s">
        <v>53</v>
      </c>
      <c r="G2676" s="25" t="s">
        <v>125</v>
      </c>
    </row>
    <row r="2677" spans="1:7">
      <c r="A2677" s="21" t="s">
        <v>2752</v>
      </c>
      <c r="B2677" s="22" t="s">
        <v>56</v>
      </c>
      <c r="C2677" s="22" t="s">
        <v>124</v>
      </c>
      <c r="D2677" s="23">
        <v>1</v>
      </c>
      <c r="E2677" s="24">
        <f>SUM($D$2:D2677)/SUM($D$2:$D$2846)</f>
        <v>0.98564146134239594</v>
      </c>
      <c r="F2677" s="22" t="s">
        <v>53</v>
      </c>
      <c r="G2677" s="25" t="s">
        <v>125</v>
      </c>
    </row>
    <row r="2678" spans="1:7">
      <c r="A2678" s="21" t="s">
        <v>2753</v>
      </c>
      <c r="B2678" s="22" t="s">
        <v>56</v>
      </c>
      <c r="C2678" s="22" t="s">
        <v>124</v>
      </c>
      <c r="D2678" s="23">
        <v>1</v>
      </c>
      <c r="E2678" s="24">
        <f>SUM($D$2:D2678)/SUM($D$2:$D$2846)</f>
        <v>0.98572642310960068</v>
      </c>
      <c r="F2678" s="22" t="s">
        <v>53</v>
      </c>
      <c r="G2678" s="25" t="s">
        <v>125</v>
      </c>
    </row>
    <row r="2679" spans="1:7">
      <c r="A2679" s="21" t="s">
        <v>2754</v>
      </c>
      <c r="B2679" s="22" t="s">
        <v>56</v>
      </c>
      <c r="C2679" s="22" t="s">
        <v>124</v>
      </c>
      <c r="D2679" s="23">
        <v>1</v>
      </c>
      <c r="E2679" s="24">
        <f>SUM($D$2:D2679)/SUM($D$2:$D$2846)</f>
        <v>0.98581138487680542</v>
      </c>
      <c r="F2679" s="22" t="s">
        <v>53</v>
      </c>
      <c r="G2679" s="25" t="s">
        <v>125</v>
      </c>
    </row>
    <row r="2680" spans="1:7">
      <c r="A2680" s="21" t="s">
        <v>2755</v>
      </c>
      <c r="B2680" s="22" t="s">
        <v>44</v>
      </c>
      <c r="C2680" s="22" t="s">
        <v>124</v>
      </c>
      <c r="D2680" s="23">
        <v>1</v>
      </c>
      <c r="E2680" s="24">
        <f>SUM($D$2:D2680)/SUM($D$2:$D$2846)</f>
        <v>0.98589634664401016</v>
      </c>
      <c r="F2680" s="22" t="s">
        <v>53</v>
      </c>
      <c r="G2680" s="25" t="s">
        <v>194</v>
      </c>
    </row>
    <row r="2681" spans="1:7">
      <c r="A2681" s="21" t="s">
        <v>2756</v>
      </c>
      <c r="B2681" s="22" t="s">
        <v>56</v>
      </c>
      <c r="C2681" s="22" t="s">
        <v>124</v>
      </c>
      <c r="D2681" s="23">
        <v>1</v>
      </c>
      <c r="E2681" s="24">
        <f>SUM($D$2:D2681)/SUM($D$2:$D$2846)</f>
        <v>0.98598130841121501</v>
      </c>
      <c r="F2681" s="22" t="s">
        <v>53</v>
      </c>
      <c r="G2681" s="25" t="s">
        <v>125</v>
      </c>
    </row>
    <row r="2682" spans="1:7">
      <c r="A2682" s="21" t="s">
        <v>2757</v>
      </c>
      <c r="B2682" s="26" t="s">
        <v>163</v>
      </c>
      <c r="C2682" s="22" t="s">
        <v>45</v>
      </c>
      <c r="D2682" s="23">
        <v>1</v>
      </c>
      <c r="E2682" s="24">
        <f>SUM($D$2:D2682)/SUM($D$2:$D$2846)</f>
        <v>0.98606627017841975</v>
      </c>
      <c r="F2682" s="22" t="s">
        <v>53</v>
      </c>
      <c r="G2682" s="25" t="s">
        <v>164</v>
      </c>
    </row>
    <row r="2683" spans="1:7">
      <c r="A2683" s="21" t="s">
        <v>2758</v>
      </c>
      <c r="B2683" s="22" t="s">
        <v>56</v>
      </c>
      <c r="C2683" s="22" t="s">
        <v>124</v>
      </c>
      <c r="D2683" s="23">
        <v>1</v>
      </c>
      <c r="E2683" s="24">
        <f>SUM($D$2:D2683)/SUM($D$2:$D$2846)</f>
        <v>0.98615123194562448</v>
      </c>
      <c r="F2683" s="22" t="s">
        <v>53</v>
      </c>
      <c r="G2683" s="25" t="s">
        <v>125</v>
      </c>
    </row>
    <row r="2684" spans="1:7">
      <c r="A2684" s="21" t="s">
        <v>2759</v>
      </c>
      <c r="B2684" s="26" t="s">
        <v>163</v>
      </c>
      <c r="C2684" s="22" t="s">
        <v>45</v>
      </c>
      <c r="D2684" s="23">
        <v>1</v>
      </c>
      <c r="E2684" s="24">
        <f>SUM($D$2:D2684)/SUM($D$2:$D$2846)</f>
        <v>0.98623619371282922</v>
      </c>
      <c r="F2684" s="22" t="s">
        <v>53</v>
      </c>
      <c r="G2684" s="25" t="s">
        <v>164</v>
      </c>
    </row>
    <row r="2685" spans="1:7">
      <c r="A2685" s="21" t="s">
        <v>2760</v>
      </c>
      <c r="B2685" s="22" t="s">
        <v>56</v>
      </c>
      <c r="C2685" s="22" t="s">
        <v>124</v>
      </c>
      <c r="D2685" s="23">
        <v>1</v>
      </c>
      <c r="E2685" s="24">
        <f>SUM($D$2:D2685)/SUM($D$2:$D$2846)</f>
        <v>0.98632115548003396</v>
      </c>
      <c r="F2685" s="22" t="s">
        <v>53</v>
      </c>
      <c r="G2685" s="25" t="s">
        <v>125</v>
      </c>
    </row>
    <row r="2686" spans="1:7">
      <c r="A2686" s="21" t="s">
        <v>2761</v>
      </c>
      <c r="B2686" s="22" t="s">
        <v>56</v>
      </c>
      <c r="C2686" s="22" t="s">
        <v>124</v>
      </c>
      <c r="D2686" s="23">
        <v>1</v>
      </c>
      <c r="E2686" s="24">
        <f>SUM($D$2:D2686)/SUM($D$2:$D$2846)</f>
        <v>0.9864061172472387</v>
      </c>
      <c r="F2686" s="22" t="s">
        <v>53</v>
      </c>
      <c r="G2686" s="25" t="s">
        <v>125</v>
      </c>
    </row>
    <row r="2687" spans="1:7">
      <c r="A2687" s="21" t="s">
        <v>2762</v>
      </c>
      <c r="B2687" s="22" t="s">
        <v>56</v>
      </c>
      <c r="C2687" s="22" t="s">
        <v>124</v>
      </c>
      <c r="D2687" s="23">
        <v>1</v>
      </c>
      <c r="E2687" s="24">
        <f>SUM($D$2:D2687)/SUM($D$2:$D$2846)</f>
        <v>0.98649107901444355</v>
      </c>
      <c r="F2687" s="22" t="s">
        <v>53</v>
      </c>
      <c r="G2687" s="25" t="s">
        <v>125</v>
      </c>
    </row>
    <row r="2688" spans="1:7">
      <c r="A2688" s="21" t="s">
        <v>2763</v>
      </c>
      <c r="B2688" s="22" t="s">
        <v>56</v>
      </c>
      <c r="C2688" s="22" t="s">
        <v>124</v>
      </c>
      <c r="D2688" s="23">
        <v>1</v>
      </c>
      <c r="E2688" s="24">
        <f>SUM($D$2:D2688)/SUM($D$2:$D$2846)</f>
        <v>0.98657604078164829</v>
      </c>
      <c r="F2688" s="22" t="s">
        <v>53</v>
      </c>
      <c r="G2688" s="25" t="s">
        <v>125</v>
      </c>
    </row>
    <row r="2689" spans="1:7">
      <c r="A2689" s="21" t="s">
        <v>2764</v>
      </c>
      <c r="B2689" s="22" t="s">
        <v>56</v>
      </c>
      <c r="C2689" s="22" t="s">
        <v>124</v>
      </c>
      <c r="D2689" s="23">
        <v>1</v>
      </c>
      <c r="E2689" s="24">
        <f>SUM($D$2:D2689)/SUM($D$2:$D$2846)</f>
        <v>0.98666100254885303</v>
      </c>
      <c r="F2689" s="22" t="s">
        <v>53</v>
      </c>
      <c r="G2689" s="25" t="s">
        <v>125</v>
      </c>
    </row>
    <row r="2690" spans="1:7">
      <c r="A2690" s="21" t="s">
        <v>2765</v>
      </c>
      <c r="B2690" s="22" t="s">
        <v>56</v>
      </c>
      <c r="C2690" s="22" t="s">
        <v>124</v>
      </c>
      <c r="D2690" s="23">
        <v>1</v>
      </c>
      <c r="E2690" s="24">
        <f>SUM($D$2:D2690)/SUM($D$2:$D$2846)</f>
        <v>0.98674596431605777</v>
      </c>
      <c r="F2690" s="22" t="s">
        <v>53</v>
      </c>
      <c r="G2690" s="25" t="s">
        <v>125</v>
      </c>
    </row>
    <row r="2691" spans="1:7">
      <c r="A2691" s="21" t="s">
        <v>2766</v>
      </c>
      <c r="B2691" s="22" t="s">
        <v>56</v>
      </c>
      <c r="C2691" s="22" t="s">
        <v>124</v>
      </c>
      <c r="D2691" s="23">
        <v>1</v>
      </c>
      <c r="E2691" s="24">
        <f>SUM($D$2:D2691)/SUM($D$2:$D$2846)</f>
        <v>0.98683092608326251</v>
      </c>
      <c r="F2691" s="22" t="s">
        <v>53</v>
      </c>
      <c r="G2691" s="25" t="s">
        <v>125</v>
      </c>
    </row>
    <row r="2692" spans="1:7">
      <c r="A2692" s="21" t="s">
        <v>2767</v>
      </c>
      <c r="B2692" s="22" t="s">
        <v>56</v>
      </c>
      <c r="C2692" s="22" t="s">
        <v>124</v>
      </c>
      <c r="D2692" s="23">
        <v>1</v>
      </c>
      <c r="E2692" s="24">
        <f>SUM($D$2:D2692)/SUM($D$2:$D$2846)</f>
        <v>0.98691588785046724</v>
      </c>
      <c r="F2692" s="22" t="s">
        <v>53</v>
      </c>
      <c r="G2692" s="25" t="s">
        <v>125</v>
      </c>
    </row>
    <row r="2693" spans="1:7">
      <c r="A2693" s="21" t="s">
        <v>2768</v>
      </c>
      <c r="B2693" s="22" t="s">
        <v>56</v>
      </c>
      <c r="C2693" s="22" t="s">
        <v>124</v>
      </c>
      <c r="D2693" s="23">
        <v>1</v>
      </c>
      <c r="E2693" s="24">
        <f>SUM($D$2:D2693)/SUM($D$2:$D$2846)</f>
        <v>0.98700084961767209</v>
      </c>
      <c r="F2693" s="22" t="s">
        <v>53</v>
      </c>
      <c r="G2693" s="25" t="s">
        <v>125</v>
      </c>
    </row>
    <row r="2694" spans="1:7">
      <c r="A2694" s="21" t="s">
        <v>2769</v>
      </c>
      <c r="B2694" s="22" t="s">
        <v>56</v>
      </c>
      <c r="C2694" s="22" t="s">
        <v>124</v>
      </c>
      <c r="D2694" s="23">
        <v>1</v>
      </c>
      <c r="E2694" s="24">
        <f>SUM($D$2:D2694)/SUM($D$2:$D$2846)</f>
        <v>0.98708581138487683</v>
      </c>
      <c r="F2694" s="22" t="s">
        <v>53</v>
      </c>
      <c r="G2694" s="25" t="s">
        <v>125</v>
      </c>
    </row>
    <row r="2695" spans="1:7">
      <c r="A2695" s="21" t="s">
        <v>2770</v>
      </c>
      <c r="B2695" s="22" t="s">
        <v>56</v>
      </c>
      <c r="C2695" s="22" t="s">
        <v>124</v>
      </c>
      <c r="D2695" s="23">
        <v>1</v>
      </c>
      <c r="E2695" s="24">
        <f>SUM($D$2:D2695)/SUM($D$2:$D$2846)</f>
        <v>0.98717077315208157</v>
      </c>
      <c r="F2695" s="22" t="s">
        <v>53</v>
      </c>
      <c r="G2695" s="25" t="s">
        <v>125</v>
      </c>
    </row>
    <row r="2696" spans="1:7">
      <c r="A2696" s="21" t="s">
        <v>2771</v>
      </c>
      <c r="B2696" s="22" t="s">
        <v>56</v>
      </c>
      <c r="C2696" s="22" t="s">
        <v>124</v>
      </c>
      <c r="D2696" s="23">
        <v>1</v>
      </c>
      <c r="E2696" s="24">
        <f>SUM($D$2:D2696)/SUM($D$2:$D$2846)</f>
        <v>0.98725573491928631</v>
      </c>
      <c r="F2696" s="22" t="s">
        <v>53</v>
      </c>
      <c r="G2696" s="25" t="s">
        <v>125</v>
      </c>
    </row>
    <row r="2697" spans="1:7">
      <c r="A2697" s="21" t="s">
        <v>2772</v>
      </c>
      <c r="B2697" s="22" t="s">
        <v>56</v>
      </c>
      <c r="C2697" s="22" t="s">
        <v>124</v>
      </c>
      <c r="D2697" s="23">
        <v>1</v>
      </c>
      <c r="E2697" s="24">
        <f>SUM($D$2:D2697)/SUM($D$2:$D$2846)</f>
        <v>0.98734069668649105</v>
      </c>
      <c r="F2697" s="22" t="s">
        <v>53</v>
      </c>
      <c r="G2697" s="25" t="s">
        <v>125</v>
      </c>
    </row>
    <row r="2698" spans="1:7">
      <c r="A2698" s="21" t="s">
        <v>2773</v>
      </c>
      <c r="B2698" s="22" t="s">
        <v>56</v>
      </c>
      <c r="C2698" s="22" t="s">
        <v>124</v>
      </c>
      <c r="D2698" s="23">
        <v>1</v>
      </c>
      <c r="E2698" s="24">
        <f>SUM($D$2:D2698)/SUM($D$2:$D$2846)</f>
        <v>0.98742565845369579</v>
      </c>
      <c r="F2698" s="22" t="s">
        <v>53</v>
      </c>
      <c r="G2698" s="25" t="s">
        <v>125</v>
      </c>
    </row>
    <row r="2699" spans="1:7">
      <c r="A2699" s="21" t="s">
        <v>2774</v>
      </c>
      <c r="B2699" s="26" t="s">
        <v>163</v>
      </c>
      <c r="C2699" s="22" t="s">
        <v>45</v>
      </c>
      <c r="D2699" s="23">
        <v>1</v>
      </c>
      <c r="E2699" s="24">
        <f>SUM($D$2:D2699)/SUM($D$2:$D$2846)</f>
        <v>0.98751062022090064</v>
      </c>
      <c r="F2699" s="22" t="s">
        <v>53</v>
      </c>
      <c r="G2699" s="25" t="s">
        <v>164</v>
      </c>
    </row>
    <row r="2700" spans="1:7">
      <c r="A2700" s="21" t="s">
        <v>2775</v>
      </c>
      <c r="B2700" s="22" t="s">
        <v>56</v>
      </c>
      <c r="C2700" s="22" t="s">
        <v>124</v>
      </c>
      <c r="D2700" s="23">
        <v>1</v>
      </c>
      <c r="E2700" s="24">
        <f>SUM($D$2:D2700)/SUM($D$2:$D$2846)</f>
        <v>0.98759558198810538</v>
      </c>
      <c r="F2700" s="22" t="s">
        <v>53</v>
      </c>
      <c r="G2700" s="25" t="s">
        <v>125</v>
      </c>
    </row>
    <row r="2701" spans="1:7">
      <c r="A2701" s="21" t="s">
        <v>2776</v>
      </c>
      <c r="B2701" s="22" t="s">
        <v>56</v>
      </c>
      <c r="C2701" s="22" t="s">
        <v>124</v>
      </c>
      <c r="D2701" s="23">
        <v>1</v>
      </c>
      <c r="E2701" s="24">
        <f>SUM($D$2:D2701)/SUM($D$2:$D$2846)</f>
        <v>0.98768054375531011</v>
      </c>
      <c r="F2701" s="22" t="s">
        <v>53</v>
      </c>
      <c r="G2701" s="25" t="s">
        <v>125</v>
      </c>
    </row>
    <row r="2702" spans="1:7">
      <c r="A2702" s="21" t="s">
        <v>2777</v>
      </c>
      <c r="B2702" s="22" t="s">
        <v>56</v>
      </c>
      <c r="C2702" s="22" t="s">
        <v>124</v>
      </c>
      <c r="D2702" s="23">
        <v>1</v>
      </c>
      <c r="E2702" s="24">
        <f>SUM($D$2:D2702)/SUM($D$2:$D$2846)</f>
        <v>0.98776550552251485</v>
      </c>
      <c r="F2702" s="22" t="s">
        <v>53</v>
      </c>
      <c r="G2702" s="25" t="s">
        <v>125</v>
      </c>
    </row>
    <row r="2703" spans="1:7">
      <c r="A2703" s="21" t="s">
        <v>2778</v>
      </c>
      <c r="B2703" s="26" t="s">
        <v>163</v>
      </c>
      <c r="C2703" s="22" t="s">
        <v>45</v>
      </c>
      <c r="D2703" s="23">
        <v>1</v>
      </c>
      <c r="E2703" s="24">
        <f>SUM($D$2:D2703)/SUM($D$2:$D$2846)</f>
        <v>0.98785046728971959</v>
      </c>
      <c r="F2703" s="22" t="s">
        <v>53</v>
      </c>
      <c r="G2703" s="25" t="s">
        <v>164</v>
      </c>
    </row>
    <row r="2704" spans="1:7">
      <c r="A2704" s="21" t="s">
        <v>2779</v>
      </c>
      <c r="B2704" s="26" t="s">
        <v>163</v>
      </c>
      <c r="C2704" s="22" t="s">
        <v>45</v>
      </c>
      <c r="D2704" s="23">
        <v>1</v>
      </c>
      <c r="E2704" s="24">
        <f>SUM($D$2:D2704)/SUM($D$2:$D$2846)</f>
        <v>0.98793542905692433</v>
      </c>
      <c r="F2704" s="22" t="s">
        <v>53</v>
      </c>
      <c r="G2704" s="25" t="s">
        <v>164</v>
      </c>
    </row>
    <row r="2705" spans="1:7">
      <c r="A2705" s="21" t="s">
        <v>2780</v>
      </c>
      <c r="B2705" s="22" t="s">
        <v>56</v>
      </c>
      <c r="C2705" s="22" t="s">
        <v>124</v>
      </c>
      <c r="D2705" s="23">
        <v>1</v>
      </c>
      <c r="E2705" s="24">
        <f>SUM($D$2:D2705)/SUM($D$2:$D$2846)</f>
        <v>0.98802039082412918</v>
      </c>
      <c r="F2705" s="22" t="s">
        <v>53</v>
      </c>
      <c r="G2705" s="25" t="s">
        <v>125</v>
      </c>
    </row>
    <row r="2706" spans="1:7">
      <c r="A2706" s="21" t="s">
        <v>2781</v>
      </c>
      <c r="B2706" s="22" t="s">
        <v>56</v>
      </c>
      <c r="C2706" s="22" t="s">
        <v>124</v>
      </c>
      <c r="D2706" s="23">
        <v>1</v>
      </c>
      <c r="E2706" s="24">
        <f>SUM($D$2:D2706)/SUM($D$2:$D$2846)</f>
        <v>0.98810535259133392</v>
      </c>
      <c r="F2706" s="22" t="s">
        <v>53</v>
      </c>
      <c r="G2706" s="25" t="s">
        <v>125</v>
      </c>
    </row>
    <row r="2707" spans="1:7">
      <c r="A2707" s="21" t="s">
        <v>2782</v>
      </c>
      <c r="B2707" s="22" t="s">
        <v>56</v>
      </c>
      <c r="C2707" s="22" t="s">
        <v>124</v>
      </c>
      <c r="D2707" s="23">
        <v>1</v>
      </c>
      <c r="E2707" s="24">
        <f>SUM($D$2:D2707)/SUM($D$2:$D$2846)</f>
        <v>0.98819031435853866</v>
      </c>
      <c r="F2707" s="22" t="s">
        <v>53</v>
      </c>
      <c r="G2707" s="25" t="s">
        <v>125</v>
      </c>
    </row>
    <row r="2708" spans="1:7">
      <c r="A2708" s="21" t="s">
        <v>2783</v>
      </c>
      <c r="B2708" s="22" t="s">
        <v>56</v>
      </c>
      <c r="C2708" s="22" t="s">
        <v>124</v>
      </c>
      <c r="D2708" s="23">
        <v>1</v>
      </c>
      <c r="E2708" s="24">
        <f>SUM($D$2:D2708)/SUM($D$2:$D$2846)</f>
        <v>0.9882752761257434</v>
      </c>
      <c r="F2708" s="22" t="s">
        <v>53</v>
      </c>
      <c r="G2708" s="25" t="s">
        <v>125</v>
      </c>
    </row>
    <row r="2709" spans="1:7">
      <c r="A2709" s="21" t="s">
        <v>2784</v>
      </c>
      <c r="B2709" s="22" t="s">
        <v>56</v>
      </c>
      <c r="C2709" s="22" t="s">
        <v>124</v>
      </c>
      <c r="D2709" s="23">
        <v>1</v>
      </c>
      <c r="E2709" s="24">
        <f>SUM($D$2:D2709)/SUM($D$2:$D$2846)</f>
        <v>0.98836023789294813</v>
      </c>
      <c r="F2709" s="22" t="s">
        <v>53</v>
      </c>
      <c r="G2709" s="25" t="s">
        <v>125</v>
      </c>
    </row>
    <row r="2710" spans="1:7">
      <c r="A2710" s="21" t="s">
        <v>2785</v>
      </c>
      <c r="B2710" s="22" t="s">
        <v>56</v>
      </c>
      <c r="C2710" s="22" t="s">
        <v>124</v>
      </c>
      <c r="D2710" s="23">
        <v>1</v>
      </c>
      <c r="E2710" s="24">
        <f>SUM($D$2:D2710)/SUM($D$2:$D$2846)</f>
        <v>0.98844519966015298</v>
      </c>
      <c r="F2710" s="22" t="s">
        <v>53</v>
      </c>
      <c r="G2710" s="25" t="s">
        <v>125</v>
      </c>
    </row>
    <row r="2711" spans="1:7">
      <c r="A2711" s="21" t="s">
        <v>2786</v>
      </c>
      <c r="B2711" s="22" t="s">
        <v>56</v>
      </c>
      <c r="C2711" s="22" t="s">
        <v>124</v>
      </c>
      <c r="D2711" s="23">
        <v>1</v>
      </c>
      <c r="E2711" s="24">
        <f>SUM($D$2:D2711)/SUM($D$2:$D$2846)</f>
        <v>0.98853016142735772</v>
      </c>
      <c r="F2711" s="22" t="s">
        <v>53</v>
      </c>
      <c r="G2711" s="25" t="s">
        <v>125</v>
      </c>
    </row>
    <row r="2712" spans="1:7">
      <c r="A2712" s="21" t="s">
        <v>2787</v>
      </c>
      <c r="B2712" s="22" t="s">
        <v>56</v>
      </c>
      <c r="C2712" s="22" t="s">
        <v>124</v>
      </c>
      <c r="D2712" s="23">
        <v>1</v>
      </c>
      <c r="E2712" s="24">
        <f>SUM($D$2:D2712)/SUM($D$2:$D$2846)</f>
        <v>0.98861512319456246</v>
      </c>
      <c r="F2712" s="22" t="s">
        <v>53</v>
      </c>
      <c r="G2712" s="25" t="s">
        <v>125</v>
      </c>
    </row>
    <row r="2713" spans="1:7">
      <c r="A2713" s="21" t="s">
        <v>2788</v>
      </c>
      <c r="B2713" s="22" t="s">
        <v>56</v>
      </c>
      <c r="C2713" s="22" t="s">
        <v>124</v>
      </c>
      <c r="D2713" s="23">
        <v>1</v>
      </c>
      <c r="E2713" s="24">
        <f>SUM($D$2:D2713)/SUM($D$2:$D$2846)</f>
        <v>0.9887000849617672</v>
      </c>
      <c r="F2713" s="22" t="s">
        <v>53</v>
      </c>
      <c r="G2713" s="25" t="s">
        <v>125</v>
      </c>
    </row>
    <row r="2714" spans="1:7">
      <c r="A2714" s="21" t="s">
        <v>2789</v>
      </c>
      <c r="B2714" s="22" t="s">
        <v>56</v>
      </c>
      <c r="C2714" s="22" t="s">
        <v>124</v>
      </c>
      <c r="D2714" s="23">
        <v>1</v>
      </c>
      <c r="E2714" s="24">
        <f>SUM($D$2:D2714)/SUM($D$2:$D$2846)</f>
        <v>0.98878504672897194</v>
      </c>
      <c r="F2714" s="22" t="s">
        <v>53</v>
      </c>
      <c r="G2714" s="25" t="s">
        <v>125</v>
      </c>
    </row>
    <row r="2715" spans="1:7">
      <c r="A2715" s="21" t="s">
        <v>2790</v>
      </c>
      <c r="B2715" s="22" t="s">
        <v>56</v>
      </c>
      <c r="C2715" s="22" t="s">
        <v>124</v>
      </c>
      <c r="D2715" s="23">
        <v>1</v>
      </c>
      <c r="E2715" s="24">
        <f>SUM($D$2:D2715)/SUM($D$2:$D$2846)</f>
        <v>0.98887000849617668</v>
      </c>
      <c r="F2715" s="22" t="s">
        <v>53</v>
      </c>
      <c r="G2715" s="25" t="s">
        <v>125</v>
      </c>
    </row>
    <row r="2716" spans="1:7">
      <c r="A2716" s="21" t="s">
        <v>2791</v>
      </c>
      <c r="B2716" s="22" t="s">
        <v>56</v>
      </c>
      <c r="C2716" s="22" t="s">
        <v>124</v>
      </c>
      <c r="D2716" s="23">
        <v>1</v>
      </c>
      <c r="E2716" s="24">
        <f>SUM($D$2:D2716)/SUM($D$2:$D$2846)</f>
        <v>0.98895497026338153</v>
      </c>
      <c r="F2716" s="22" t="s">
        <v>53</v>
      </c>
      <c r="G2716" s="25" t="s">
        <v>125</v>
      </c>
    </row>
    <row r="2717" spans="1:7">
      <c r="A2717" s="21" t="s">
        <v>2792</v>
      </c>
      <c r="B2717" s="22" t="s">
        <v>56</v>
      </c>
      <c r="C2717" s="22" t="s">
        <v>124</v>
      </c>
      <c r="D2717" s="23">
        <v>1</v>
      </c>
      <c r="E2717" s="24">
        <f>SUM($D$2:D2717)/SUM($D$2:$D$2846)</f>
        <v>0.98903993203058627</v>
      </c>
      <c r="F2717" s="22" t="s">
        <v>53</v>
      </c>
      <c r="G2717" s="25" t="s">
        <v>125</v>
      </c>
    </row>
    <row r="2718" spans="1:7">
      <c r="A2718" s="21" t="s">
        <v>2793</v>
      </c>
      <c r="B2718" s="22" t="s">
        <v>56</v>
      </c>
      <c r="C2718" s="22" t="s">
        <v>124</v>
      </c>
      <c r="D2718" s="23">
        <v>1</v>
      </c>
      <c r="E2718" s="24">
        <f>SUM($D$2:D2718)/SUM($D$2:$D$2846)</f>
        <v>0.989124893797791</v>
      </c>
      <c r="F2718" s="22" t="s">
        <v>53</v>
      </c>
      <c r="G2718" s="25" t="s">
        <v>125</v>
      </c>
    </row>
    <row r="2719" spans="1:7">
      <c r="A2719" s="21" t="s">
        <v>2794</v>
      </c>
      <c r="B2719" s="22" t="s">
        <v>56</v>
      </c>
      <c r="C2719" s="22" t="s">
        <v>124</v>
      </c>
      <c r="D2719" s="23">
        <v>1</v>
      </c>
      <c r="E2719" s="24">
        <f>SUM($D$2:D2719)/SUM($D$2:$D$2846)</f>
        <v>0.98920985556499574</v>
      </c>
      <c r="F2719" s="22" t="s">
        <v>53</v>
      </c>
      <c r="G2719" s="25" t="s">
        <v>125</v>
      </c>
    </row>
    <row r="2720" spans="1:7">
      <c r="A2720" s="21" t="s">
        <v>2795</v>
      </c>
      <c r="B2720" s="22" t="s">
        <v>56</v>
      </c>
      <c r="C2720" s="22" t="s">
        <v>124</v>
      </c>
      <c r="D2720" s="23">
        <v>1</v>
      </c>
      <c r="E2720" s="24">
        <f>SUM($D$2:D2720)/SUM($D$2:$D$2846)</f>
        <v>0.98929481733220048</v>
      </c>
      <c r="F2720" s="22" t="s">
        <v>53</v>
      </c>
      <c r="G2720" s="25" t="s">
        <v>125</v>
      </c>
    </row>
    <row r="2721" spans="1:7">
      <c r="A2721" s="21" t="s">
        <v>2796</v>
      </c>
      <c r="B2721" s="22" t="s">
        <v>56</v>
      </c>
      <c r="C2721" s="22" t="s">
        <v>124</v>
      </c>
      <c r="D2721" s="23">
        <v>1</v>
      </c>
      <c r="E2721" s="24">
        <f>SUM($D$2:D2721)/SUM($D$2:$D$2846)</f>
        <v>0.98937977909940522</v>
      </c>
      <c r="F2721" s="22" t="s">
        <v>53</v>
      </c>
      <c r="G2721" s="25" t="s">
        <v>125</v>
      </c>
    </row>
    <row r="2722" spans="1:7">
      <c r="A2722" s="21" t="s">
        <v>2797</v>
      </c>
      <c r="B2722" s="22" t="s">
        <v>56</v>
      </c>
      <c r="C2722" s="22" t="s">
        <v>124</v>
      </c>
      <c r="D2722" s="23">
        <v>1</v>
      </c>
      <c r="E2722" s="24">
        <f>SUM($D$2:D2722)/SUM($D$2:$D$2846)</f>
        <v>0.98946474086661007</v>
      </c>
      <c r="F2722" s="22" t="s">
        <v>53</v>
      </c>
      <c r="G2722" s="25" t="s">
        <v>125</v>
      </c>
    </row>
    <row r="2723" spans="1:7">
      <c r="A2723" s="21" t="s">
        <v>2798</v>
      </c>
      <c r="B2723" s="22" t="s">
        <v>56</v>
      </c>
      <c r="C2723" s="22" t="s">
        <v>124</v>
      </c>
      <c r="D2723" s="23">
        <v>1</v>
      </c>
      <c r="E2723" s="24">
        <f>SUM($D$2:D2723)/SUM($D$2:$D$2846)</f>
        <v>0.98954970263381481</v>
      </c>
      <c r="F2723" s="22" t="s">
        <v>53</v>
      </c>
      <c r="G2723" s="25" t="s">
        <v>125</v>
      </c>
    </row>
    <row r="2724" spans="1:7">
      <c r="A2724" s="21" t="s">
        <v>117</v>
      </c>
      <c r="B2724" s="26" t="s">
        <v>56</v>
      </c>
      <c r="C2724" s="22" t="s">
        <v>45</v>
      </c>
      <c r="D2724" s="23">
        <v>1</v>
      </c>
      <c r="E2724" s="24">
        <f>SUM($D$2:D2724)/SUM($D$2:$D$2846)</f>
        <v>0.98963466440101955</v>
      </c>
      <c r="F2724" s="22" t="s">
        <v>53</v>
      </c>
      <c r="G2724" s="25" t="s">
        <v>57</v>
      </c>
    </row>
    <row r="2725" spans="1:7">
      <c r="A2725" s="21" t="s">
        <v>2799</v>
      </c>
      <c r="B2725" s="22" t="s">
        <v>56</v>
      </c>
      <c r="C2725" s="22" t="s">
        <v>124</v>
      </c>
      <c r="D2725" s="23">
        <v>1</v>
      </c>
      <c r="E2725" s="24">
        <f>SUM($D$2:D2725)/SUM($D$2:$D$2846)</f>
        <v>0.98971962616822429</v>
      </c>
      <c r="F2725" s="22" t="s">
        <v>53</v>
      </c>
      <c r="G2725" s="25" t="s">
        <v>125</v>
      </c>
    </row>
    <row r="2726" spans="1:7">
      <c r="A2726" s="21" t="s">
        <v>2800</v>
      </c>
      <c r="B2726" s="22" t="s">
        <v>56</v>
      </c>
      <c r="C2726" s="22" t="s">
        <v>124</v>
      </c>
      <c r="D2726" s="23">
        <v>1</v>
      </c>
      <c r="E2726" s="24">
        <f>SUM($D$2:D2726)/SUM($D$2:$D$2846)</f>
        <v>0.98980458793542903</v>
      </c>
      <c r="F2726" s="22" t="s">
        <v>53</v>
      </c>
      <c r="G2726" s="25" t="s">
        <v>125</v>
      </c>
    </row>
    <row r="2727" spans="1:7">
      <c r="A2727" s="21" t="s">
        <v>2801</v>
      </c>
      <c r="B2727" s="26" t="s">
        <v>163</v>
      </c>
      <c r="C2727" s="22" t="s">
        <v>45</v>
      </c>
      <c r="D2727" s="23">
        <v>1</v>
      </c>
      <c r="E2727" s="24">
        <f>SUM($D$2:D2727)/SUM($D$2:$D$2846)</f>
        <v>0.98988954970263376</v>
      </c>
      <c r="F2727" s="22" t="s">
        <v>53</v>
      </c>
      <c r="G2727" s="25" t="s">
        <v>164</v>
      </c>
    </row>
    <row r="2728" spans="1:7">
      <c r="A2728" s="21" t="s">
        <v>2802</v>
      </c>
      <c r="B2728" s="26" t="s">
        <v>163</v>
      </c>
      <c r="C2728" s="22" t="s">
        <v>45</v>
      </c>
      <c r="D2728" s="23">
        <v>1</v>
      </c>
      <c r="E2728" s="24">
        <f>SUM($D$2:D2728)/SUM($D$2:$D$2846)</f>
        <v>0.98997451146983861</v>
      </c>
      <c r="F2728" s="22" t="s">
        <v>53</v>
      </c>
      <c r="G2728" s="25" t="s">
        <v>164</v>
      </c>
    </row>
    <row r="2729" spans="1:7">
      <c r="A2729" s="21" t="s">
        <v>2803</v>
      </c>
      <c r="B2729" s="26" t="s">
        <v>163</v>
      </c>
      <c r="C2729" s="22" t="s">
        <v>45</v>
      </c>
      <c r="D2729" s="23">
        <v>1</v>
      </c>
      <c r="E2729" s="24">
        <f>SUM($D$2:D2729)/SUM($D$2:$D$2846)</f>
        <v>0.99005947323704335</v>
      </c>
      <c r="F2729" s="22" t="s">
        <v>53</v>
      </c>
      <c r="G2729" s="25" t="s">
        <v>164</v>
      </c>
    </row>
    <row r="2730" spans="1:7">
      <c r="A2730" s="21" t="s">
        <v>2804</v>
      </c>
      <c r="B2730" s="22" t="s">
        <v>56</v>
      </c>
      <c r="C2730" s="22" t="s">
        <v>124</v>
      </c>
      <c r="D2730" s="23">
        <v>1</v>
      </c>
      <c r="E2730" s="24">
        <f>SUM($D$2:D2730)/SUM($D$2:$D$2846)</f>
        <v>0.99014443500424809</v>
      </c>
      <c r="F2730" s="22" t="s">
        <v>53</v>
      </c>
      <c r="G2730" s="25" t="s">
        <v>125</v>
      </c>
    </row>
    <row r="2731" spans="1:7">
      <c r="A2731" s="21" t="s">
        <v>2805</v>
      </c>
      <c r="B2731" s="22" t="s">
        <v>56</v>
      </c>
      <c r="C2731" s="22" t="s">
        <v>124</v>
      </c>
      <c r="D2731" s="23">
        <v>1</v>
      </c>
      <c r="E2731" s="24">
        <f>SUM($D$2:D2731)/SUM($D$2:$D$2846)</f>
        <v>0.99022939677145283</v>
      </c>
      <c r="F2731" s="22" t="s">
        <v>53</v>
      </c>
      <c r="G2731" s="25" t="s">
        <v>125</v>
      </c>
    </row>
    <row r="2732" spans="1:7">
      <c r="A2732" s="21" t="s">
        <v>2806</v>
      </c>
      <c r="B2732" s="22" t="s">
        <v>56</v>
      </c>
      <c r="C2732" s="22" t="s">
        <v>124</v>
      </c>
      <c r="D2732" s="23">
        <v>1</v>
      </c>
      <c r="E2732" s="24">
        <f>SUM($D$2:D2732)/SUM($D$2:$D$2846)</f>
        <v>0.99031435853865757</v>
      </c>
      <c r="F2732" s="22" t="s">
        <v>53</v>
      </c>
      <c r="G2732" s="25" t="s">
        <v>125</v>
      </c>
    </row>
    <row r="2733" spans="1:7">
      <c r="A2733" s="21" t="s">
        <v>2807</v>
      </c>
      <c r="B2733" s="22" t="s">
        <v>56</v>
      </c>
      <c r="C2733" s="22" t="s">
        <v>124</v>
      </c>
      <c r="D2733" s="23">
        <v>1</v>
      </c>
      <c r="E2733" s="24">
        <f>SUM($D$2:D2733)/SUM($D$2:$D$2846)</f>
        <v>0.99039932030586231</v>
      </c>
      <c r="F2733" s="22" t="s">
        <v>53</v>
      </c>
      <c r="G2733" s="25" t="s">
        <v>125</v>
      </c>
    </row>
    <row r="2734" spans="1:7">
      <c r="A2734" s="21" t="s">
        <v>2808</v>
      </c>
      <c r="B2734" s="22" t="s">
        <v>56</v>
      </c>
      <c r="C2734" s="22" t="s">
        <v>124</v>
      </c>
      <c r="D2734" s="23">
        <v>1</v>
      </c>
      <c r="E2734" s="24">
        <f>SUM($D$2:D2734)/SUM($D$2:$D$2846)</f>
        <v>0.99048428207306716</v>
      </c>
      <c r="F2734" s="22" t="s">
        <v>53</v>
      </c>
      <c r="G2734" s="25" t="s">
        <v>125</v>
      </c>
    </row>
    <row r="2735" spans="1:7">
      <c r="A2735" s="21" t="s">
        <v>2809</v>
      </c>
      <c r="B2735" s="26" t="s">
        <v>163</v>
      </c>
      <c r="C2735" s="22" t="s">
        <v>45</v>
      </c>
      <c r="D2735" s="23">
        <v>1</v>
      </c>
      <c r="E2735" s="24">
        <f>SUM($D$2:D2735)/SUM($D$2:$D$2846)</f>
        <v>0.9905692438402719</v>
      </c>
      <c r="F2735" s="22" t="s">
        <v>53</v>
      </c>
      <c r="G2735" s="25" t="s">
        <v>164</v>
      </c>
    </row>
    <row r="2736" spans="1:7">
      <c r="A2736" s="21" t="s">
        <v>2810</v>
      </c>
      <c r="B2736" s="22" t="s">
        <v>56</v>
      </c>
      <c r="C2736" s="22" t="s">
        <v>124</v>
      </c>
      <c r="D2736" s="23">
        <v>1</v>
      </c>
      <c r="E2736" s="24">
        <f>SUM($D$2:D2736)/SUM($D$2:$D$2846)</f>
        <v>0.99065420560747663</v>
      </c>
      <c r="F2736" s="22" t="s">
        <v>53</v>
      </c>
      <c r="G2736" s="25" t="s">
        <v>125</v>
      </c>
    </row>
    <row r="2737" spans="1:7">
      <c r="A2737" s="21" t="s">
        <v>2811</v>
      </c>
      <c r="B2737" s="22" t="s">
        <v>56</v>
      </c>
      <c r="C2737" s="22" t="s">
        <v>124</v>
      </c>
      <c r="D2737" s="23">
        <v>1</v>
      </c>
      <c r="E2737" s="24">
        <f>SUM($D$2:D2737)/SUM($D$2:$D$2846)</f>
        <v>0.99073916737468137</v>
      </c>
      <c r="F2737" s="22" t="s">
        <v>53</v>
      </c>
      <c r="G2737" s="25" t="s">
        <v>125</v>
      </c>
    </row>
    <row r="2738" spans="1:7">
      <c r="A2738" s="21" t="s">
        <v>2812</v>
      </c>
      <c r="B2738" s="22" t="s">
        <v>56</v>
      </c>
      <c r="C2738" s="22" t="s">
        <v>124</v>
      </c>
      <c r="D2738" s="23">
        <v>1</v>
      </c>
      <c r="E2738" s="24">
        <f>SUM($D$2:D2738)/SUM($D$2:$D$2846)</f>
        <v>0.99082412914188611</v>
      </c>
      <c r="F2738" s="22" t="s">
        <v>53</v>
      </c>
      <c r="G2738" s="25" t="s">
        <v>125</v>
      </c>
    </row>
    <row r="2739" spans="1:7">
      <c r="A2739" s="21" t="s">
        <v>2813</v>
      </c>
      <c r="B2739" s="22" t="s">
        <v>56</v>
      </c>
      <c r="C2739" s="22" t="s">
        <v>124</v>
      </c>
      <c r="D2739" s="23">
        <v>1</v>
      </c>
      <c r="E2739" s="24">
        <f>SUM($D$2:D2739)/SUM($D$2:$D$2846)</f>
        <v>0.99090909090909096</v>
      </c>
      <c r="F2739" s="22" t="s">
        <v>53</v>
      </c>
      <c r="G2739" s="25" t="s">
        <v>125</v>
      </c>
    </row>
    <row r="2740" spans="1:7">
      <c r="A2740" s="21" t="s">
        <v>2814</v>
      </c>
      <c r="B2740" s="22" t="s">
        <v>56</v>
      </c>
      <c r="C2740" s="22" t="s">
        <v>124</v>
      </c>
      <c r="D2740" s="23">
        <v>1</v>
      </c>
      <c r="E2740" s="24">
        <f>SUM($D$2:D2740)/SUM($D$2:$D$2846)</f>
        <v>0.9909940526762957</v>
      </c>
      <c r="F2740" s="22" t="s">
        <v>53</v>
      </c>
      <c r="G2740" s="25" t="s">
        <v>125</v>
      </c>
    </row>
    <row r="2741" spans="1:7">
      <c r="A2741" s="21" t="s">
        <v>2815</v>
      </c>
      <c r="B2741" s="22" t="s">
        <v>56</v>
      </c>
      <c r="C2741" s="22" t="s">
        <v>124</v>
      </c>
      <c r="D2741" s="23">
        <v>1</v>
      </c>
      <c r="E2741" s="24">
        <f>SUM($D$2:D2741)/SUM($D$2:$D$2846)</f>
        <v>0.99107901444350044</v>
      </c>
      <c r="F2741" s="22" t="s">
        <v>53</v>
      </c>
      <c r="G2741" s="25" t="s">
        <v>125</v>
      </c>
    </row>
    <row r="2742" spans="1:7">
      <c r="A2742" s="21" t="s">
        <v>2816</v>
      </c>
      <c r="B2742" s="22" t="s">
        <v>56</v>
      </c>
      <c r="C2742" s="22" t="s">
        <v>124</v>
      </c>
      <c r="D2742" s="23">
        <v>1</v>
      </c>
      <c r="E2742" s="24">
        <f>SUM($D$2:D2742)/SUM($D$2:$D$2846)</f>
        <v>0.99116397621070518</v>
      </c>
      <c r="F2742" s="22" t="s">
        <v>53</v>
      </c>
      <c r="G2742" s="25" t="s">
        <v>125</v>
      </c>
    </row>
    <row r="2743" spans="1:7">
      <c r="A2743" s="21" t="s">
        <v>2817</v>
      </c>
      <c r="B2743" s="22" t="s">
        <v>56</v>
      </c>
      <c r="C2743" s="22" t="s">
        <v>124</v>
      </c>
      <c r="D2743" s="23">
        <v>1</v>
      </c>
      <c r="E2743" s="24">
        <f>SUM($D$2:D2743)/SUM($D$2:$D$2846)</f>
        <v>0.99124893797790992</v>
      </c>
      <c r="F2743" s="22" t="s">
        <v>53</v>
      </c>
      <c r="G2743" s="25" t="s">
        <v>125</v>
      </c>
    </row>
    <row r="2744" spans="1:7">
      <c r="A2744" s="21" t="s">
        <v>2818</v>
      </c>
      <c r="B2744" s="22" t="s">
        <v>56</v>
      </c>
      <c r="C2744" s="22" t="s">
        <v>124</v>
      </c>
      <c r="D2744" s="23">
        <v>1</v>
      </c>
      <c r="E2744" s="24">
        <f>SUM($D$2:D2744)/SUM($D$2:$D$2846)</f>
        <v>0.99133389974511466</v>
      </c>
      <c r="F2744" s="22" t="s">
        <v>53</v>
      </c>
      <c r="G2744" s="25" t="s">
        <v>125</v>
      </c>
    </row>
    <row r="2745" spans="1:7">
      <c r="A2745" s="21" t="s">
        <v>2819</v>
      </c>
      <c r="B2745" s="26" t="s">
        <v>163</v>
      </c>
      <c r="C2745" s="22" t="s">
        <v>45</v>
      </c>
      <c r="D2745" s="23">
        <v>1</v>
      </c>
      <c r="E2745" s="24">
        <f>SUM($D$2:D2745)/SUM($D$2:$D$2846)</f>
        <v>0.9914188615123195</v>
      </c>
      <c r="F2745" s="22" t="s">
        <v>53</v>
      </c>
      <c r="G2745" s="25" t="s">
        <v>164</v>
      </c>
    </row>
    <row r="2746" spans="1:7">
      <c r="A2746" s="21" t="s">
        <v>118</v>
      </c>
      <c r="B2746" s="26" t="s">
        <v>163</v>
      </c>
      <c r="C2746" s="22" t="s">
        <v>73</v>
      </c>
      <c r="D2746" s="23">
        <v>1</v>
      </c>
      <c r="E2746" s="24">
        <f>SUM($D$2:D2746)/SUM($D$2:$D$2846)</f>
        <v>0.99150382327952424</v>
      </c>
      <c r="F2746" s="22" t="s">
        <v>53</v>
      </c>
      <c r="G2746" s="25" t="s">
        <v>74</v>
      </c>
    </row>
    <row r="2747" spans="1:7">
      <c r="A2747" s="21" t="s">
        <v>2820</v>
      </c>
      <c r="B2747" s="22" t="s">
        <v>56</v>
      </c>
      <c r="C2747" s="22" t="s">
        <v>124</v>
      </c>
      <c r="D2747" s="23">
        <v>1</v>
      </c>
      <c r="E2747" s="24">
        <f>SUM($D$2:D2747)/SUM($D$2:$D$2846)</f>
        <v>0.99158878504672898</v>
      </c>
      <c r="F2747" s="22" t="s">
        <v>53</v>
      </c>
      <c r="G2747" s="25" t="s">
        <v>125</v>
      </c>
    </row>
    <row r="2748" spans="1:7">
      <c r="A2748" s="21" t="s">
        <v>2821</v>
      </c>
      <c r="B2748" s="22" t="s">
        <v>56</v>
      </c>
      <c r="C2748" s="22" t="s">
        <v>124</v>
      </c>
      <c r="D2748" s="23">
        <v>1</v>
      </c>
      <c r="E2748" s="24">
        <f>SUM($D$2:D2748)/SUM($D$2:$D$2846)</f>
        <v>0.99167374681393372</v>
      </c>
      <c r="F2748" s="22" t="s">
        <v>53</v>
      </c>
      <c r="G2748" s="25" t="s">
        <v>125</v>
      </c>
    </row>
    <row r="2749" spans="1:7">
      <c r="A2749" s="21" t="s">
        <v>2822</v>
      </c>
      <c r="B2749" s="22" t="s">
        <v>56</v>
      </c>
      <c r="C2749" s="22" t="s">
        <v>124</v>
      </c>
      <c r="D2749" s="23">
        <v>1</v>
      </c>
      <c r="E2749" s="24">
        <f>SUM($D$2:D2749)/SUM($D$2:$D$2846)</f>
        <v>0.99175870858113846</v>
      </c>
      <c r="F2749" s="22" t="s">
        <v>53</v>
      </c>
      <c r="G2749" s="25" t="s">
        <v>125</v>
      </c>
    </row>
    <row r="2750" spans="1:7">
      <c r="A2750" s="21" t="s">
        <v>2823</v>
      </c>
      <c r="B2750" s="22" t="s">
        <v>56</v>
      </c>
      <c r="C2750" s="22" t="s">
        <v>124</v>
      </c>
      <c r="D2750" s="23">
        <v>1</v>
      </c>
      <c r="E2750" s="24">
        <f>SUM($D$2:D2750)/SUM($D$2:$D$2846)</f>
        <v>0.9918436703483432</v>
      </c>
      <c r="F2750" s="22" t="s">
        <v>53</v>
      </c>
      <c r="G2750" s="25" t="s">
        <v>125</v>
      </c>
    </row>
    <row r="2751" spans="1:7">
      <c r="A2751" s="21" t="s">
        <v>2824</v>
      </c>
      <c r="B2751" s="26" t="s">
        <v>163</v>
      </c>
      <c r="C2751" s="22" t="s">
        <v>45</v>
      </c>
      <c r="D2751" s="23">
        <v>1</v>
      </c>
      <c r="E2751" s="24">
        <f>SUM($D$2:D2751)/SUM($D$2:$D$2846)</f>
        <v>0.99192863211554805</v>
      </c>
      <c r="F2751" s="22" t="s">
        <v>53</v>
      </c>
      <c r="G2751" s="25" t="s">
        <v>164</v>
      </c>
    </row>
    <row r="2752" spans="1:7">
      <c r="A2752" s="21" t="s">
        <v>2825</v>
      </c>
      <c r="B2752" s="26" t="s">
        <v>163</v>
      </c>
      <c r="C2752" s="22" t="s">
        <v>45</v>
      </c>
      <c r="D2752" s="23">
        <v>1</v>
      </c>
      <c r="E2752" s="24">
        <f>SUM($D$2:D2752)/SUM($D$2:$D$2846)</f>
        <v>0.99201359388275279</v>
      </c>
      <c r="F2752" s="22" t="s">
        <v>53</v>
      </c>
      <c r="G2752" s="25" t="s">
        <v>164</v>
      </c>
    </row>
    <row r="2753" spans="1:7">
      <c r="A2753" s="21" t="s">
        <v>2826</v>
      </c>
      <c r="B2753" s="26" t="s">
        <v>163</v>
      </c>
      <c r="C2753" s="22" t="s">
        <v>45</v>
      </c>
      <c r="D2753" s="23">
        <v>1</v>
      </c>
      <c r="E2753" s="24">
        <f>SUM($D$2:D2753)/SUM($D$2:$D$2846)</f>
        <v>0.99209855564995753</v>
      </c>
      <c r="F2753" s="22" t="s">
        <v>53</v>
      </c>
      <c r="G2753" s="25" t="s">
        <v>164</v>
      </c>
    </row>
    <row r="2754" spans="1:7">
      <c r="A2754" s="21" t="s">
        <v>2827</v>
      </c>
      <c r="B2754" s="22" t="s">
        <v>56</v>
      </c>
      <c r="C2754" s="22" t="s">
        <v>124</v>
      </c>
      <c r="D2754" s="23">
        <v>1</v>
      </c>
      <c r="E2754" s="24">
        <f>SUM($D$2:D2754)/SUM($D$2:$D$2846)</f>
        <v>0.99218351741716226</v>
      </c>
      <c r="F2754" s="22" t="s">
        <v>53</v>
      </c>
      <c r="G2754" s="25" t="s">
        <v>125</v>
      </c>
    </row>
    <row r="2755" spans="1:7">
      <c r="A2755" s="21" t="s">
        <v>2828</v>
      </c>
      <c r="B2755" s="26" t="s">
        <v>163</v>
      </c>
      <c r="C2755" s="22" t="s">
        <v>45</v>
      </c>
      <c r="D2755" s="23">
        <v>1</v>
      </c>
      <c r="E2755" s="24">
        <f>SUM($D$2:D2755)/SUM($D$2:$D$2846)</f>
        <v>0.992268479184367</v>
      </c>
      <c r="F2755" s="22" t="s">
        <v>53</v>
      </c>
      <c r="G2755" s="25" t="s">
        <v>164</v>
      </c>
    </row>
    <row r="2756" spans="1:7">
      <c r="A2756" s="21" t="s">
        <v>2829</v>
      </c>
      <c r="B2756" s="22" t="s">
        <v>56</v>
      </c>
      <c r="C2756" s="22" t="s">
        <v>124</v>
      </c>
      <c r="D2756" s="23">
        <v>1</v>
      </c>
      <c r="E2756" s="24">
        <f>SUM($D$2:D2756)/SUM($D$2:$D$2846)</f>
        <v>0.99235344095157174</v>
      </c>
      <c r="F2756" s="22" t="s">
        <v>53</v>
      </c>
      <c r="G2756" s="25" t="s">
        <v>125</v>
      </c>
    </row>
    <row r="2757" spans="1:7">
      <c r="A2757" s="21" t="s">
        <v>2830</v>
      </c>
      <c r="B2757" s="26" t="s">
        <v>163</v>
      </c>
      <c r="C2757" s="22" t="s">
        <v>45</v>
      </c>
      <c r="D2757" s="23">
        <v>1</v>
      </c>
      <c r="E2757" s="24">
        <f>SUM($D$2:D2757)/SUM($D$2:$D$2846)</f>
        <v>0.99243840271877659</v>
      </c>
      <c r="F2757" s="22" t="s">
        <v>53</v>
      </c>
      <c r="G2757" s="25" t="s">
        <v>164</v>
      </c>
    </row>
    <row r="2758" spans="1:7">
      <c r="A2758" s="21" t="s">
        <v>2831</v>
      </c>
      <c r="B2758" s="26" t="s">
        <v>163</v>
      </c>
      <c r="C2758" s="22" t="s">
        <v>45</v>
      </c>
      <c r="D2758" s="23">
        <v>1</v>
      </c>
      <c r="E2758" s="24">
        <f>SUM($D$2:D2758)/SUM($D$2:$D$2846)</f>
        <v>0.99252336448598133</v>
      </c>
      <c r="F2758" s="22" t="s">
        <v>53</v>
      </c>
      <c r="G2758" s="25" t="s">
        <v>164</v>
      </c>
    </row>
    <row r="2759" spans="1:7">
      <c r="A2759" s="21" t="s">
        <v>2832</v>
      </c>
      <c r="B2759" s="26" t="s">
        <v>163</v>
      </c>
      <c r="C2759" s="22" t="s">
        <v>45</v>
      </c>
      <c r="D2759" s="23">
        <v>1</v>
      </c>
      <c r="E2759" s="24">
        <f>SUM($D$2:D2759)/SUM($D$2:$D$2846)</f>
        <v>0.99260832625318607</v>
      </c>
      <c r="F2759" s="22" t="s">
        <v>53</v>
      </c>
      <c r="G2759" s="25" t="s">
        <v>164</v>
      </c>
    </row>
    <row r="2760" spans="1:7">
      <c r="A2760" s="21" t="s">
        <v>2833</v>
      </c>
      <c r="B2760" s="26" t="s">
        <v>163</v>
      </c>
      <c r="C2760" s="22" t="s">
        <v>45</v>
      </c>
      <c r="D2760" s="23">
        <v>1</v>
      </c>
      <c r="E2760" s="24">
        <f>SUM($D$2:D2760)/SUM($D$2:$D$2846)</f>
        <v>0.99269328802039081</v>
      </c>
      <c r="F2760" s="22" t="s">
        <v>53</v>
      </c>
      <c r="G2760" s="25" t="s">
        <v>164</v>
      </c>
    </row>
    <row r="2761" spans="1:7">
      <c r="A2761" s="21" t="s">
        <v>2834</v>
      </c>
      <c r="B2761" s="26" t="s">
        <v>163</v>
      </c>
      <c r="C2761" s="22" t="s">
        <v>45</v>
      </c>
      <c r="D2761" s="23">
        <v>1</v>
      </c>
      <c r="E2761" s="24">
        <f>SUM($D$2:D2761)/SUM($D$2:$D$2846)</f>
        <v>0.99277824978759555</v>
      </c>
      <c r="F2761" s="22" t="s">
        <v>53</v>
      </c>
      <c r="G2761" s="25" t="s">
        <v>164</v>
      </c>
    </row>
    <row r="2762" spans="1:7">
      <c r="A2762" s="21" t="s">
        <v>2835</v>
      </c>
      <c r="B2762" s="26" t="s">
        <v>163</v>
      </c>
      <c r="C2762" s="22" t="s">
        <v>45</v>
      </c>
      <c r="D2762" s="23">
        <v>1</v>
      </c>
      <c r="E2762" s="24">
        <f>SUM($D$2:D2762)/SUM($D$2:$D$2846)</f>
        <v>0.99286321155480028</v>
      </c>
      <c r="F2762" s="22" t="s">
        <v>53</v>
      </c>
      <c r="G2762" s="25" t="s">
        <v>164</v>
      </c>
    </row>
    <row r="2763" spans="1:7">
      <c r="A2763" s="21" t="s">
        <v>2836</v>
      </c>
      <c r="B2763" s="22" t="s">
        <v>56</v>
      </c>
      <c r="C2763" s="22" t="s">
        <v>124</v>
      </c>
      <c r="D2763" s="23">
        <v>1</v>
      </c>
      <c r="E2763" s="24">
        <f>SUM($D$2:D2763)/SUM($D$2:$D$2846)</f>
        <v>0.99294817332200513</v>
      </c>
      <c r="F2763" s="22" t="s">
        <v>53</v>
      </c>
      <c r="G2763" s="25" t="s">
        <v>125</v>
      </c>
    </row>
    <row r="2764" spans="1:7">
      <c r="A2764" s="21" t="s">
        <v>2837</v>
      </c>
      <c r="B2764" s="22" t="s">
        <v>56</v>
      </c>
      <c r="C2764" s="22" t="s">
        <v>124</v>
      </c>
      <c r="D2764" s="23">
        <v>1</v>
      </c>
      <c r="E2764" s="24">
        <f>SUM($D$2:D2764)/SUM($D$2:$D$2846)</f>
        <v>0.99303313508920987</v>
      </c>
      <c r="F2764" s="22" t="s">
        <v>53</v>
      </c>
      <c r="G2764" s="25" t="s">
        <v>125</v>
      </c>
    </row>
    <row r="2765" spans="1:7">
      <c r="A2765" s="21" t="s">
        <v>2838</v>
      </c>
      <c r="B2765" s="22" t="s">
        <v>56</v>
      </c>
      <c r="C2765" s="22" t="s">
        <v>124</v>
      </c>
      <c r="D2765" s="23">
        <v>1</v>
      </c>
      <c r="E2765" s="24">
        <f>SUM($D$2:D2765)/SUM($D$2:$D$2846)</f>
        <v>0.99311809685641461</v>
      </c>
      <c r="F2765" s="22" t="s">
        <v>53</v>
      </c>
      <c r="G2765" s="25" t="s">
        <v>125</v>
      </c>
    </row>
    <row r="2766" spans="1:7">
      <c r="A2766" s="21" t="s">
        <v>2839</v>
      </c>
      <c r="B2766" s="26" t="s">
        <v>163</v>
      </c>
      <c r="C2766" s="22" t="s">
        <v>45</v>
      </c>
      <c r="D2766" s="23">
        <v>1</v>
      </c>
      <c r="E2766" s="24">
        <f>SUM($D$2:D2766)/SUM($D$2:$D$2846)</f>
        <v>0.99320305862361935</v>
      </c>
      <c r="F2766" s="22" t="s">
        <v>53</v>
      </c>
      <c r="G2766" s="25" t="s">
        <v>164</v>
      </c>
    </row>
    <row r="2767" spans="1:7">
      <c r="A2767" s="21" t="s">
        <v>2840</v>
      </c>
      <c r="B2767" s="26" t="s">
        <v>163</v>
      </c>
      <c r="C2767" s="22" t="s">
        <v>45</v>
      </c>
      <c r="D2767" s="23">
        <v>1</v>
      </c>
      <c r="E2767" s="24">
        <f>SUM($D$2:D2767)/SUM($D$2:$D$2846)</f>
        <v>0.99328802039082409</v>
      </c>
      <c r="F2767" s="22" t="s">
        <v>53</v>
      </c>
      <c r="G2767" s="25" t="s">
        <v>164</v>
      </c>
    </row>
    <row r="2768" spans="1:7">
      <c r="A2768" s="21" t="s">
        <v>2841</v>
      </c>
      <c r="B2768" s="26" t="s">
        <v>163</v>
      </c>
      <c r="C2768" s="22" t="s">
        <v>45</v>
      </c>
      <c r="D2768" s="23">
        <v>1</v>
      </c>
      <c r="E2768" s="24">
        <f>SUM($D$2:D2768)/SUM($D$2:$D$2846)</f>
        <v>0.99337298215802894</v>
      </c>
      <c r="F2768" s="22" t="s">
        <v>53</v>
      </c>
      <c r="G2768" s="25" t="s">
        <v>164</v>
      </c>
    </row>
    <row r="2769" spans="1:7">
      <c r="A2769" s="21" t="s">
        <v>2842</v>
      </c>
      <c r="B2769" s="26" t="s">
        <v>163</v>
      </c>
      <c r="C2769" s="22" t="s">
        <v>45</v>
      </c>
      <c r="D2769" s="23">
        <v>1</v>
      </c>
      <c r="E2769" s="24">
        <f>SUM($D$2:D2769)/SUM($D$2:$D$2846)</f>
        <v>0.99345794392523368</v>
      </c>
      <c r="F2769" s="22" t="s">
        <v>53</v>
      </c>
      <c r="G2769" s="25" t="s">
        <v>164</v>
      </c>
    </row>
    <row r="2770" spans="1:7">
      <c r="A2770" s="21" t="s">
        <v>2843</v>
      </c>
      <c r="B2770" s="22" t="s">
        <v>56</v>
      </c>
      <c r="C2770" s="22" t="s">
        <v>124</v>
      </c>
      <c r="D2770" s="23">
        <v>1</v>
      </c>
      <c r="E2770" s="24">
        <f>SUM($D$2:D2770)/SUM($D$2:$D$2846)</f>
        <v>0.99354290569243842</v>
      </c>
      <c r="F2770" s="22" t="s">
        <v>53</v>
      </c>
      <c r="G2770" s="25" t="s">
        <v>125</v>
      </c>
    </row>
    <row r="2771" spans="1:7">
      <c r="A2771" s="21" t="s">
        <v>2844</v>
      </c>
      <c r="B2771" s="26" t="s">
        <v>163</v>
      </c>
      <c r="C2771" s="22" t="s">
        <v>45</v>
      </c>
      <c r="D2771" s="23">
        <v>1</v>
      </c>
      <c r="E2771" s="24">
        <f>SUM($D$2:D2771)/SUM($D$2:$D$2846)</f>
        <v>0.99362786745964315</v>
      </c>
      <c r="F2771" s="22" t="s">
        <v>53</v>
      </c>
      <c r="G2771" s="25" t="s">
        <v>164</v>
      </c>
    </row>
    <row r="2772" spans="1:7">
      <c r="A2772" s="21" t="s">
        <v>2845</v>
      </c>
      <c r="B2772" s="22" t="s">
        <v>56</v>
      </c>
      <c r="C2772" s="22" t="s">
        <v>124</v>
      </c>
      <c r="D2772" s="23">
        <v>1</v>
      </c>
      <c r="E2772" s="24">
        <f>SUM($D$2:D2772)/SUM($D$2:$D$2846)</f>
        <v>0.99371282922684789</v>
      </c>
      <c r="F2772" s="22" t="s">
        <v>53</v>
      </c>
      <c r="G2772" s="25" t="s">
        <v>125</v>
      </c>
    </row>
    <row r="2773" spans="1:7">
      <c r="A2773" s="21" t="s">
        <v>2846</v>
      </c>
      <c r="B2773" s="22" t="s">
        <v>56</v>
      </c>
      <c r="C2773" s="22" t="s">
        <v>124</v>
      </c>
      <c r="D2773" s="23">
        <v>1</v>
      </c>
      <c r="E2773" s="24">
        <f>SUM($D$2:D2773)/SUM($D$2:$D$2846)</f>
        <v>0.99379779099405263</v>
      </c>
      <c r="F2773" s="22" t="s">
        <v>53</v>
      </c>
      <c r="G2773" s="25" t="s">
        <v>125</v>
      </c>
    </row>
    <row r="2774" spans="1:7">
      <c r="A2774" s="21" t="s">
        <v>2847</v>
      </c>
      <c r="B2774" s="26" t="s">
        <v>163</v>
      </c>
      <c r="C2774" s="22" t="s">
        <v>45</v>
      </c>
      <c r="D2774" s="23">
        <v>1</v>
      </c>
      <c r="E2774" s="24">
        <f>SUM($D$2:D2774)/SUM($D$2:$D$2846)</f>
        <v>0.99388275276125748</v>
      </c>
      <c r="F2774" s="22" t="s">
        <v>53</v>
      </c>
      <c r="G2774" s="25" t="s">
        <v>164</v>
      </c>
    </row>
    <row r="2775" spans="1:7">
      <c r="A2775" s="21" t="s">
        <v>2848</v>
      </c>
      <c r="B2775" s="22" t="s">
        <v>56</v>
      </c>
      <c r="C2775" s="22" t="s">
        <v>124</v>
      </c>
      <c r="D2775" s="23">
        <v>1</v>
      </c>
      <c r="E2775" s="24">
        <f>SUM($D$2:D2775)/SUM($D$2:$D$2846)</f>
        <v>0.99396771452846222</v>
      </c>
      <c r="F2775" s="22" t="s">
        <v>53</v>
      </c>
      <c r="G2775" s="25" t="s">
        <v>125</v>
      </c>
    </row>
    <row r="2776" spans="1:7">
      <c r="A2776" s="21" t="s">
        <v>2849</v>
      </c>
      <c r="B2776" s="22" t="s">
        <v>56</v>
      </c>
      <c r="C2776" s="22" t="s">
        <v>124</v>
      </c>
      <c r="D2776" s="23">
        <v>1</v>
      </c>
      <c r="E2776" s="24">
        <f>SUM($D$2:D2776)/SUM($D$2:$D$2846)</f>
        <v>0.99405267629566696</v>
      </c>
      <c r="F2776" s="22" t="s">
        <v>53</v>
      </c>
      <c r="G2776" s="25" t="s">
        <v>125</v>
      </c>
    </row>
    <row r="2777" spans="1:7">
      <c r="A2777" s="21" t="s">
        <v>2850</v>
      </c>
      <c r="B2777" s="22" t="s">
        <v>56</v>
      </c>
      <c r="C2777" s="22" t="s">
        <v>124</v>
      </c>
      <c r="D2777" s="23">
        <v>1</v>
      </c>
      <c r="E2777" s="24">
        <f>SUM($D$2:D2777)/SUM($D$2:$D$2846)</f>
        <v>0.9941376380628717</v>
      </c>
      <c r="F2777" s="22" t="s">
        <v>53</v>
      </c>
      <c r="G2777" s="25" t="s">
        <v>125</v>
      </c>
    </row>
    <row r="2778" spans="1:7">
      <c r="A2778" s="21" t="s">
        <v>2851</v>
      </c>
      <c r="B2778" s="22" t="s">
        <v>56</v>
      </c>
      <c r="C2778" s="22" t="s">
        <v>124</v>
      </c>
      <c r="D2778" s="23">
        <v>1</v>
      </c>
      <c r="E2778" s="24">
        <f>SUM($D$2:D2778)/SUM($D$2:$D$2846)</f>
        <v>0.99422259983007644</v>
      </c>
      <c r="F2778" s="22" t="s">
        <v>53</v>
      </c>
      <c r="G2778" s="25" t="s">
        <v>125</v>
      </c>
    </row>
    <row r="2779" spans="1:7">
      <c r="A2779" s="21" t="s">
        <v>2852</v>
      </c>
      <c r="B2779" s="22" t="s">
        <v>56</v>
      </c>
      <c r="C2779" s="22" t="s">
        <v>124</v>
      </c>
      <c r="D2779" s="23">
        <v>1</v>
      </c>
      <c r="E2779" s="24">
        <f>SUM($D$2:D2779)/SUM($D$2:$D$2846)</f>
        <v>0.99430756159728118</v>
      </c>
      <c r="F2779" s="22" t="s">
        <v>53</v>
      </c>
      <c r="G2779" s="25" t="s">
        <v>125</v>
      </c>
    </row>
    <row r="2780" spans="1:7">
      <c r="A2780" s="21" t="s">
        <v>2853</v>
      </c>
      <c r="B2780" s="22" t="s">
        <v>56</v>
      </c>
      <c r="C2780" s="22" t="s">
        <v>124</v>
      </c>
      <c r="D2780" s="23">
        <v>1</v>
      </c>
      <c r="E2780" s="24">
        <f>SUM($D$2:D2780)/SUM($D$2:$D$2846)</f>
        <v>0.99439252336448603</v>
      </c>
      <c r="F2780" s="22" t="s">
        <v>53</v>
      </c>
      <c r="G2780" s="25" t="s">
        <v>125</v>
      </c>
    </row>
    <row r="2781" spans="1:7">
      <c r="A2781" s="21" t="s">
        <v>2854</v>
      </c>
      <c r="B2781" s="26" t="s">
        <v>163</v>
      </c>
      <c r="C2781" s="22" t="s">
        <v>45</v>
      </c>
      <c r="D2781" s="23">
        <v>1</v>
      </c>
      <c r="E2781" s="24">
        <f>SUM($D$2:D2781)/SUM($D$2:$D$2846)</f>
        <v>0.99447748513169076</v>
      </c>
      <c r="F2781" s="22" t="s">
        <v>53</v>
      </c>
      <c r="G2781" s="25" t="s">
        <v>164</v>
      </c>
    </row>
    <row r="2782" spans="1:7">
      <c r="A2782" s="21" t="s">
        <v>2855</v>
      </c>
      <c r="B2782" s="26" t="s">
        <v>163</v>
      </c>
      <c r="C2782" s="22" t="s">
        <v>45</v>
      </c>
      <c r="D2782" s="23">
        <v>1</v>
      </c>
      <c r="E2782" s="24">
        <f>SUM($D$2:D2782)/SUM($D$2:$D$2846)</f>
        <v>0.9945624468988955</v>
      </c>
      <c r="F2782" s="22" t="s">
        <v>53</v>
      </c>
      <c r="G2782" s="25" t="s">
        <v>164</v>
      </c>
    </row>
    <row r="2783" spans="1:7">
      <c r="A2783" s="21" t="s">
        <v>2856</v>
      </c>
      <c r="B2783" s="26" t="s">
        <v>163</v>
      </c>
      <c r="C2783" s="22" t="s">
        <v>45</v>
      </c>
      <c r="D2783" s="23">
        <v>1</v>
      </c>
      <c r="E2783" s="24">
        <f>SUM($D$2:D2783)/SUM($D$2:$D$2846)</f>
        <v>0.99464740866610024</v>
      </c>
      <c r="F2783" s="22" t="s">
        <v>53</v>
      </c>
      <c r="G2783" s="25" t="s">
        <v>164</v>
      </c>
    </row>
    <row r="2784" spans="1:7">
      <c r="A2784" s="21" t="s">
        <v>2857</v>
      </c>
      <c r="B2784" s="26" t="s">
        <v>163</v>
      </c>
      <c r="C2784" s="22" t="s">
        <v>45</v>
      </c>
      <c r="D2784" s="23">
        <v>1</v>
      </c>
      <c r="E2784" s="24">
        <f>SUM($D$2:D2784)/SUM($D$2:$D$2846)</f>
        <v>0.99473237043330498</v>
      </c>
      <c r="F2784" s="22" t="s">
        <v>53</v>
      </c>
      <c r="G2784" s="25" t="s">
        <v>164</v>
      </c>
    </row>
    <row r="2785" spans="1:7">
      <c r="A2785" s="21" t="s">
        <v>2858</v>
      </c>
      <c r="B2785" s="22" t="s">
        <v>56</v>
      </c>
      <c r="C2785" s="22" t="s">
        <v>124</v>
      </c>
      <c r="D2785" s="23">
        <v>1</v>
      </c>
      <c r="E2785" s="24">
        <f>SUM($D$2:D2785)/SUM($D$2:$D$2846)</f>
        <v>0.99481733220050972</v>
      </c>
      <c r="F2785" s="22" t="s">
        <v>53</v>
      </c>
      <c r="G2785" s="25" t="s">
        <v>125</v>
      </c>
    </row>
    <row r="2786" spans="1:7">
      <c r="A2786" s="21" t="s">
        <v>2859</v>
      </c>
      <c r="B2786" s="26" t="s">
        <v>163</v>
      </c>
      <c r="C2786" s="22" t="s">
        <v>45</v>
      </c>
      <c r="D2786" s="23">
        <v>1</v>
      </c>
      <c r="E2786" s="24">
        <f>SUM($D$2:D2786)/SUM($D$2:$D$2846)</f>
        <v>0.99490229396771457</v>
      </c>
      <c r="F2786" s="22" t="s">
        <v>53</v>
      </c>
      <c r="G2786" s="25" t="s">
        <v>164</v>
      </c>
    </row>
    <row r="2787" spans="1:7">
      <c r="A2787" s="21" t="s">
        <v>2860</v>
      </c>
      <c r="B2787" s="26" t="s">
        <v>163</v>
      </c>
      <c r="C2787" s="22" t="s">
        <v>45</v>
      </c>
      <c r="D2787" s="23">
        <v>1</v>
      </c>
      <c r="E2787" s="24">
        <f>SUM($D$2:D2787)/SUM($D$2:$D$2846)</f>
        <v>0.99498725573491931</v>
      </c>
      <c r="F2787" s="22" t="s">
        <v>53</v>
      </c>
      <c r="G2787" s="25" t="s">
        <v>164</v>
      </c>
    </row>
    <row r="2788" spans="1:7">
      <c r="A2788" s="21" t="s">
        <v>2861</v>
      </c>
      <c r="B2788" s="26" t="s">
        <v>163</v>
      </c>
      <c r="C2788" s="22" t="s">
        <v>45</v>
      </c>
      <c r="D2788" s="23">
        <v>1</v>
      </c>
      <c r="E2788" s="24">
        <f>SUM($D$2:D2788)/SUM($D$2:$D$2846)</f>
        <v>0.99507221750212405</v>
      </c>
      <c r="F2788" s="22" t="s">
        <v>53</v>
      </c>
      <c r="G2788" s="25" t="s">
        <v>164</v>
      </c>
    </row>
    <row r="2789" spans="1:7">
      <c r="A2789" s="21" t="s">
        <v>2862</v>
      </c>
      <c r="B2789" s="22" t="s">
        <v>56</v>
      </c>
      <c r="C2789" s="22" t="s">
        <v>124</v>
      </c>
      <c r="D2789" s="23">
        <v>1</v>
      </c>
      <c r="E2789" s="24">
        <f>SUM($D$2:D2789)/SUM($D$2:$D$2846)</f>
        <v>0.99515717926932878</v>
      </c>
      <c r="F2789" s="22" t="s">
        <v>53</v>
      </c>
      <c r="G2789" s="25" t="s">
        <v>125</v>
      </c>
    </row>
    <row r="2790" spans="1:7">
      <c r="A2790" s="21" t="s">
        <v>2863</v>
      </c>
      <c r="B2790" s="22" t="s">
        <v>56</v>
      </c>
      <c r="C2790" s="22" t="s">
        <v>124</v>
      </c>
      <c r="D2790" s="23">
        <v>1</v>
      </c>
      <c r="E2790" s="24">
        <f>SUM($D$2:D2790)/SUM($D$2:$D$2846)</f>
        <v>0.99524214103653352</v>
      </c>
      <c r="F2790" s="22" t="s">
        <v>53</v>
      </c>
      <c r="G2790" s="25" t="s">
        <v>125</v>
      </c>
    </row>
    <row r="2791" spans="1:7">
      <c r="A2791" s="21" t="s">
        <v>2864</v>
      </c>
      <c r="B2791" s="26" t="s">
        <v>163</v>
      </c>
      <c r="C2791" s="22" t="s">
        <v>45</v>
      </c>
      <c r="D2791" s="23">
        <v>1</v>
      </c>
      <c r="E2791" s="24">
        <f>SUM($D$2:D2791)/SUM($D$2:$D$2846)</f>
        <v>0.99532710280373837</v>
      </c>
      <c r="F2791" s="22" t="s">
        <v>53</v>
      </c>
      <c r="G2791" s="25" t="s">
        <v>164</v>
      </c>
    </row>
    <row r="2792" spans="1:7">
      <c r="A2792" s="21" t="s">
        <v>2865</v>
      </c>
      <c r="B2792" s="22" t="s">
        <v>56</v>
      </c>
      <c r="C2792" s="22" t="s">
        <v>124</v>
      </c>
      <c r="D2792" s="23">
        <v>1</v>
      </c>
      <c r="E2792" s="24">
        <f>SUM($D$2:D2792)/SUM($D$2:$D$2846)</f>
        <v>0.99541206457094311</v>
      </c>
      <c r="F2792" s="22" t="s">
        <v>53</v>
      </c>
      <c r="G2792" s="25" t="s">
        <v>125</v>
      </c>
    </row>
    <row r="2793" spans="1:7">
      <c r="A2793" s="21" t="s">
        <v>2866</v>
      </c>
      <c r="B2793" s="26" t="s">
        <v>163</v>
      </c>
      <c r="C2793" s="22" t="s">
        <v>45</v>
      </c>
      <c r="D2793" s="23">
        <v>1</v>
      </c>
      <c r="E2793" s="24">
        <f>SUM($D$2:D2793)/SUM($D$2:$D$2846)</f>
        <v>0.99549702633814785</v>
      </c>
      <c r="F2793" s="22" t="s">
        <v>53</v>
      </c>
      <c r="G2793" s="25" t="s">
        <v>164</v>
      </c>
    </row>
    <row r="2794" spans="1:7">
      <c r="A2794" s="21" t="s">
        <v>2867</v>
      </c>
      <c r="B2794" s="26" t="s">
        <v>163</v>
      </c>
      <c r="C2794" s="22" t="s">
        <v>45</v>
      </c>
      <c r="D2794" s="23">
        <v>1</v>
      </c>
      <c r="E2794" s="24">
        <f>SUM($D$2:D2794)/SUM($D$2:$D$2846)</f>
        <v>0.99558198810535259</v>
      </c>
      <c r="F2794" s="22" t="s">
        <v>53</v>
      </c>
      <c r="G2794" s="25" t="s">
        <v>164</v>
      </c>
    </row>
    <row r="2795" spans="1:7">
      <c r="A2795" s="21" t="s">
        <v>2868</v>
      </c>
      <c r="B2795" s="26" t="s">
        <v>163</v>
      </c>
      <c r="C2795" s="22" t="s">
        <v>45</v>
      </c>
      <c r="D2795" s="23">
        <v>1</v>
      </c>
      <c r="E2795" s="24">
        <f>SUM($D$2:D2795)/SUM($D$2:$D$2846)</f>
        <v>0.99566694987255733</v>
      </c>
      <c r="F2795" s="22" t="s">
        <v>53</v>
      </c>
      <c r="G2795" s="25" t="s">
        <v>164</v>
      </c>
    </row>
    <row r="2796" spans="1:7">
      <c r="A2796" s="21" t="s">
        <v>2869</v>
      </c>
      <c r="B2796" s="26" t="s">
        <v>163</v>
      </c>
      <c r="C2796" s="22" t="s">
        <v>45</v>
      </c>
      <c r="D2796" s="23">
        <v>1</v>
      </c>
      <c r="E2796" s="24">
        <f>SUM($D$2:D2796)/SUM($D$2:$D$2846)</f>
        <v>0.99575191163976207</v>
      </c>
      <c r="F2796" s="22" t="s">
        <v>53</v>
      </c>
      <c r="G2796" s="25" t="s">
        <v>164</v>
      </c>
    </row>
    <row r="2797" spans="1:7">
      <c r="A2797" s="21" t="s">
        <v>2870</v>
      </c>
      <c r="B2797" s="26" t="s">
        <v>163</v>
      </c>
      <c r="C2797" s="22" t="s">
        <v>45</v>
      </c>
      <c r="D2797" s="23">
        <v>1</v>
      </c>
      <c r="E2797" s="24">
        <f>SUM($D$2:D2797)/SUM($D$2:$D$2846)</f>
        <v>0.99583687340696692</v>
      </c>
      <c r="F2797" s="22" t="s">
        <v>53</v>
      </c>
      <c r="G2797" s="25" t="s">
        <v>164</v>
      </c>
    </row>
    <row r="2798" spans="1:7">
      <c r="A2798" s="21" t="s">
        <v>2871</v>
      </c>
      <c r="B2798" s="26" t="s">
        <v>163</v>
      </c>
      <c r="C2798" s="22" t="s">
        <v>45</v>
      </c>
      <c r="D2798" s="23">
        <v>1</v>
      </c>
      <c r="E2798" s="24">
        <f>SUM($D$2:D2798)/SUM($D$2:$D$2846)</f>
        <v>0.99592183517417165</v>
      </c>
      <c r="F2798" s="22" t="s">
        <v>53</v>
      </c>
      <c r="G2798" s="25" t="s">
        <v>164</v>
      </c>
    </row>
    <row r="2799" spans="1:7">
      <c r="A2799" s="21" t="s">
        <v>2872</v>
      </c>
      <c r="B2799" s="26" t="s">
        <v>163</v>
      </c>
      <c r="C2799" s="22" t="s">
        <v>45</v>
      </c>
      <c r="D2799" s="23">
        <v>1</v>
      </c>
      <c r="E2799" s="24">
        <f>SUM($D$2:D2799)/SUM($D$2:$D$2846)</f>
        <v>0.99600679694137639</v>
      </c>
      <c r="F2799" s="22" t="s">
        <v>53</v>
      </c>
      <c r="G2799" s="25" t="s">
        <v>164</v>
      </c>
    </row>
    <row r="2800" spans="1:7">
      <c r="A2800" s="21" t="s">
        <v>2873</v>
      </c>
      <c r="B2800" s="22" t="s">
        <v>56</v>
      </c>
      <c r="C2800" s="22" t="s">
        <v>124</v>
      </c>
      <c r="D2800" s="23">
        <v>1</v>
      </c>
      <c r="E2800" s="24">
        <f>SUM($D$2:D2800)/SUM($D$2:$D$2846)</f>
        <v>0.99609175870858113</v>
      </c>
      <c r="F2800" s="22" t="s">
        <v>53</v>
      </c>
      <c r="G2800" s="25" t="s">
        <v>125</v>
      </c>
    </row>
    <row r="2801" spans="1:7">
      <c r="A2801" s="21" t="s">
        <v>2874</v>
      </c>
      <c r="B2801" s="26" t="s">
        <v>163</v>
      </c>
      <c r="C2801" s="22" t="s">
        <v>45</v>
      </c>
      <c r="D2801" s="23">
        <v>1</v>
      </c>
      <c r="E2801" s="24">
        <f>SUM($D$2:D2801)/SUM($D$2:$D$2846)</f>
        <v>0.99617672047578587</v>
      </c>
      <c r="F2801" s="22" t="s">
        <v>53</v>
      </c>
      <c r="G2801" s="25" t="s">
        <v>164</v>
      </c>
    </row>
    <row r="2802" spans="1:7">
      <c r="A2802" s="21" t="s">
        <v>2875</v>
      </c>
      <c r="B2802" s="26" t="s">
        <v>163</v>
      </c>
      <c r="C2802" s="22" t="s">
        <v>45</v>
      </c>
      <c r="D2802" s="23">
        <v>1</v>
      </c>
      <c r="E2802" s="24">
        <f>SUM($D$2:D2802)/SUM($D$2:$D$2846)</f>
        <v>0.99626168224299061</v>
      </c>
      <c r="F2802" s="22" t="s">
        <v>53</v>
      </c>
      <c r="G2802" s="25" t="s">
        <v>164</v>
      </c>
    </row>
    <row r="2803" spans="1:7">
      <c r="A2803" s="21" t="s">
        <v>2876</v>
      </c>
      <c r="B2803" s="26" t="s">
        <v>163</v>
      </c>
      <c r="C2803" s="22" t="s">
        <v>45</v>
      </c>
      <c r="D2803" s="23">
        <v>1</v>
      </c>
      <c r="E2803" s="24">
        <f>SUM($D$2:D2803)/SUM($D$2:$D$2846)</f>
        <v>0.99634664401019546</v>
      </c>
      <c r="F2803" s="22" t="s">
        <v>53</v>
      </c>
      <c r="G2803" s="25" t="s">
        <v>164</v>
      </c>
    </row>
    <row r="2804" spans="1:7">
      <c r="A2804" s="21" t="s">
        <v>2877</v>
      </c>
      <c r="B2804" s="22" t="s">
        <v>56</v>
      </c>
      <c r="C2804" s="22" t="s">
        <v>124</v>
      </c>
      <c r="D2804" s="23">
        <v>1</v>
      </c>
      <c r="E2804" s="24">
        <f>SUM($D$2:D2804)/SUM($D$2:$D$2846)</f>
        <v>0.9964316057774002</v>
      </c>
      <c r="F2804" s="22" t="s">
        <v>53</v>
      </c>
      <c r="G2804" s="25" t="s">
        <v>125</v>
      </c>
    </row>
    <row r="2805" spans="1:7">
      <c r="A2805" s="21" t="s">
        <v>2878</v>
      </c>
      <c r="B2805" s="26" t="s">
        <v>163</v>
      </c>
      <c r="C2805" s="22" t="s">
        <v>45</v>
      </c>
      <c r="D2805" s="23">
        <v>1</v>
      </c>
      <c r="E2805" s="24">
        <f>SUM($D$2:D2805)/SUM($D$2:$D$2846)</f>
        <v>0.99651656754460494</v>
      </c>
      <c r="F2805" s="22" t="s">
        <v>53</v>
      </c>
      <c r="G2805" s="25" t="s">
        <v>164</v>
      </c>
    </row>
    <row r="2806" spans="1:7">
      <c r="A2806" s="21" t="s">
        <v>2879</v>
      </c>
      <c r="B2806" s="26" t="s">
        <v>163</v>
      </c>
      <c r="C2806" s="22" t="s">
        <v>45</v>
      </c>
      <c r="D2806" s="23">
        <v>1</v>
      </c>
      <c r="E2806" s="24">
        <f>SUM($D$2:D2806)/SUM($D$2:$D$2846)</f>
        <v>0.99660152931180968</v>
      </c>
      <c r="F2806" s="22" t="s">
        <v>53</v>
      </c>
      <c r="G2806" s="25" t="s">
        <v>164</v>
      </c>
    </row>
    <row r="2807" spans="1:7">
      <c r="A2807" s="21" t="s">
        <v>2880</v>
      </c>
      <c r="B2807" s="26" t="s">
        <v>163</v>
      </c>
      <c r="C2807" s="22" t="s">
        <v>45</v>
      </c>
      <c r="D2807" s="23">
        <v>1</v>
      </c>
      <c r="E2807" s="24">
        <f>SUM($D$2:D2807)/SUM($D$2:$D$2846)</f>
        <v>0.99668649107901441</v>
      </c>
      <c r="F2807" s="22" t="s">
        <v>53</v>
      </c>
      <c r="G2807" s="25" t="s">
        <v>164</v>
      </c>
    </row>
    <row r="2808" spans="1:7">
      <c r="A2808" s="21" t="s">
        <v>2881</v>
      </c>
      <c r="B2808" s="26" t="s">
        <v>163</v>
      </c>
      <c r="C2808" s="22" t="s">
        <v>45</v>
      </c>
      <c r="D2808" s="23">
        <v>1</v>
      </c>
      <c r="E2808" s="24">
        <f>SUM($D$2:D2808)/SUM($D$2:$D$2846)</f>
        <v>0.99677145284621915</v>
      </c>
      <c r="F2808" s="22" t="s">
        <v>53</v>
      </c>
      <c r="G2808" s="25" t="s">
        <v>164</v>
      </c>
    </row>
    <row r="2809" spans="1:7">
      <c r="A2809" s="21" t="s">
        <v>2882</v>
      </c>
      <c r="B2809" s="26" t="s">
        <v>163</v>
      </c>
      <c r="C2809" s="22" t="s">
        <v>45</v>
      </c>
      <c r="D2809" s="23">
        <v>1</v>
      </c>
      <c r="E2809" s="24">
        <f>SUM($D$2:D2809)/SUM($D$2:$D$2846)</f>
        <v>0.996856414613424</v>
      </c>
      <c r="F2809" s="22" t="s">
        <v>53</v>
      </c>
      <c r="G2809" s="25" t="s">
        <v>164</v>
      </c>
    </row>
    <row r="2810" spans="1:7">
      <c r="A2810" s="21" t="s">
        <v>2883</v>
      </c>
      <c r="B2810" s="26" t="s">
        <v>163</v>
      </c>
      <c r="C2810" s="22" t="s">
        <v>45</v>
      </c>
      <c r="D2810" s="23">
        <v>1</v>
      </c>
      <c r="E2810" s="24">
        <f>SUM($D$2:D2810)/SUM($D$2:$D$2846)</f>
        <v>0.99694137638062874</v>
      </c>
      <c r="F2810" s="22" t="s">
        <v>53</v>
      </c>
      <c r="G2810" s="25" t="s">
        <v>164</v>
      </c>
    </row>
    <row r="2811" spans="1:7">
      <c r="A2811" s="21" t="s">
        <v>2884</v>
      </c>
      <c r="B2811" s="26" t="s">
        <v>163</v>
      </c>
      <c r="C2811" s="22" t="s">
        <v>45</v>
      </c>
      <c r="D2811" s="23">
        <v>1</v>
      </c>
      <c r="E2811" s="24">
        <f>SUM($D$2:D2811)/SUM($D$2:$D$2846)</f>
        <v>0.99702633814783348</v>
      </c>
      <c r="F2811" s="22" t="s">
        <v>53</v>
      </c>
      <c r="G2811" s="25" t="s">
        <v>164</v>
      </c>
    </row>
    <row r="2812" spans="1:7">
      <c r="A2812" s="21" t="s">
        <v>2885</v>
      </c>
      <c r="B2812" s="22" t="s">
        <v>56</v>
      </c>
      <c r="C2812" s="22" t="s">
        <v>124</v>
      </c>
      <c r="D2812" s="23">
        <v>1</v>
      </c>
      <c r="E2812" s="24">
        <f>SUM($D$2:D2812)/SUM($D$2:$D$2846)</f>
        <v>0.99711129991503822</v>
      </c>
      <c r="F2812" s="22" t="s">
        <v>53</v>
      </c>
      <c r="G2812" s="25" t="s">
        <v>125</v>
      </c>
    </row>
    <row r="2813" spans="1:7">
      <c r="A2813" s="21" t="s">
        <v>2886</v>
      </c>
      <c r="B2813" s="26" t="s">
        <v>163</v>
      </c>
      <c r="C2813" s="22" t="s">
        <v>45</v>
      </c>
      <c r="D2813" s="23">
        <v>1</v>
      </c>
      <c r="E2813" s="24">
        <f>SUM($D$2:D2813)/SUM($D$2:$D$2846)</f>
        <v>0.99719626168224296</v>
      </c>
      <c r="F2813" s="22" t="s">
        <v>53</v>
      </c>
      <c r="G2813" s="25" t="s">
        <v>164</v>
      </c>
    </row>
    <row r="2814" spans="1:7">
      <c r="A2814" s="21" t="s">
        <v>2887</v>
      </c>
      <c r="B2814" s="26" t="s">
        <v>163</v>
      </c>
      <c r="C2814" s="22" t="s">
        <v>45</v>
      </c>
      <c r="D2814" s="23">
        <v>1</v>
      </c>
      <c r="E2814" s="24">
        <f>SUM($D$2:D2814)/SUM($D$2:$D$2846)</f>
        <v>0.9972812234494477</v>
      </c>
      <c r="F2814" s="22" t="s">
        <v>53</v>
      </c>
      <c r="G2814" s="25" t="s">
        <v>164</v>
      </c>
    </row>
    <row r="2815" spans="1:7">
      <c r="A2815" s="21" t="s">
        <v>2888</v>
      </c>
      <c r="B2815" s="26" t="s">
        <v>163</v>
      </c>
      <c r="C2815" s="22" t="s">
        <v>45</v>
      </c>
      <c r="D2815" s="23">
        <v>1</v>
      </c>
      <c r="E2815" s="24">
        <f>SUM($D$2:D2815)/SUM($D$2:$D$2846)</f>
        <v>0.99736618521665255</v>
      </c>
      <c r="F2815" s="22" t="s">
        <v>53</v>
      </c>
      <c r="G2815" s="25" t="s">
        <v>164</v>
      </c>
    </row>
    <row r="2816" spans="1:7">
      <c r="A2816" s="21" t="s">
        <v>2889</v>
      </c>
      <c r="B2816" s="26" t="s">
        <v>163</v>
      </c>
      <c r="C2816" s="22" t="s">
        <v>45</v>
      </c>
      <c r="D2816" s="23">
        <v>1</v>
      </c>
      <c r="E2816" s="24">
        <f>SUM($D$2:D2816)/SUM($D$2:$D$2846)</f>
        <v>0.99745114698385728</v>
      </c>
      <c r="F2816" s="22" t="s">
        <v>53</v>
      </c>
      <c r="G2816" s="25" t="s">
        <v>164</v>
      </c>
    </row>
    <row r="2817" spans="1:7">
      <c r="A2817" s="21" t="s">
        <v>2890</v>
      </c>
      <c r="B2817" s="22" t="s">
        <v>56</v>
      </c>
      <c r="C2817" s="22" t="s">
        <v>124</v>
      </c>
      <c r="D2817" s="23">
        <v>1</v>
      </c>
      <c r="E2817" s="24">
        <f>SUM($D$2:D2817)/SUM($D$2:$D$2846)</f>
        <v>0.99753610875106202</v>
      </c>
      <c r="F2817" s="22" t="s">
        <v>53</v>
      </c>
      <c r="G2817" s="25" t="s">
        <v>125</v>
      </c>
    </row>
    <row r="2818" spans="1:7">
      <c r="A2818" s="21" t="s">
        <v>2891</v>
      </c>
      <c r="B2818" s="26" t="s">
        <v>163</v>
      </c>
      <c r="C2818" s="22" t="s">
        <v>45</v>
      </c>
      <c r="D2818" s="23">
        <v>1</v>
      </c>
      <c r="E2818" s="24">
        <f>SUM($D$2:D2818)/SUM($D$2:$D$2846)</f>
        <v>0.99762107051826676</v>
      </c>
      <c r="F2818" s="22" t="s">
        <v>53</v>
      </c>
      <c r="G2818" s="25" t="s">
        <v>164</v>
      </c>
    </row>
    <row r="2819" spans="1:7">
      <c r="A2819" s="21" t="s">
        <v>2892</v>
      </c>
      <c r="B2819" s="26" t="s">
        <v>163</v>
      </c>
      <c r="C2819" s="22" t="s">
        <v>45</v>
      </c>
      <c r="D2819" s="23">
        <v>1</v>
      </c>
      <c r="E2819" s="24">
        <f>SUM($D$2:D2819)/SUM($D$2:$D$2846)</f>
        <v>0.9977060322854715</v>
      </c>
      <c r="F2819" s="22" t="s">
        <v>53</v>
      </c>
      <c r="G2819" s="25" t="s">
        <v>164</v>
      </c>
    </row>
    <row r="2820" spans="1:7">
      <c r="A2820" s="21" t="s">
        <v>2893</v>
      </c>
      <c r="B2820" s="22" t="s">
        <v>56</v>
      </c>
      <c r="C2820" s="22" t="s">
        <v>124</v>
      </c>
      <c r="D2820" s="23">
        <v>1</v>
      </c>
      <c r="E2820" s="24">
        <f>SUM($D$2:D2820)/SUM($D$2:$D$2846)</f>
        <v>0.99779099405267635</v>
      </c>
      <c r="F2820" s="22" t="s">
        <v>53</v>
      </c>
      <c r="G2820" s="25" t="s">
        <v>125</v>
      </c>
    </row>
    <row r="2821" spans="1:7">
      <c r="A2821" s="21" t="s">
        <v>2894</v>
      </c>
      <c r="B2821" s="26" t="s">
        <v>163</v>
      </c>
      <c r="C2821" s="22" t="s">
        <v>45</v>
      </c>
      <c r="D2821" s="23">
        <v>1</v>
      </c>
      <c r="E2821" s="24">
        <f>SUM($D$2:D2821)/SUM($D$2:$D$2846)</f>
        <v>0.99787595581988109</v>
      </c>
      <c r="F2821" s="22" t="s">
        <v>53</v>
      </c>
      <c r="G2821" s="25" t="s">
        <v>164</v>
      </c>
    </row>
    <row r="2822" spans="1:7">
      <c r="A2822" s="21" t="s">
        <v>2895</v>
      </c>
      <c r="B2822" s="22" t="s">
        <v>56</v>
      </c>
      <c r="C2822" s="22" t="s">
        <v>124</v>
      </c>
      <c r="D2822" s="23">
        <v>1</v>
      </c>
      <c r="E2822" s="24">
        <f>SUM($D$2:D2822)/SUM($D$2:$D$2846)</f>
        <v>0.99796091758708583</v>
      </c>
      <c r="F2822" s="22" t="s">
        <v>53</v>
      </c>
      <c r="G2822" s="25" t="s">
        <v>125</v>
      </c>
    </row>
    <row r="2823" spans="1:7">
      <c r="A2823" s="21" t="s">
        <v>2896</v>
      </c>
      <c r="B2823" s="26" t="s">
        <v>163</v>
      </c>
      <c r="C2823" s="22" t="s">
        <v>45</v>
      </c>
      <c r="D2823" s="23">
        <v>1</v>
      </c>
      <c r="E2823" s="24">
        <f>SUM($D$2:D2823)/SUM($D$2:$D$2846)</f>
        <v>0.99804587935429057</v>
      </c>
      <c r="F2823" s="22" t="s">
        <v>53</v>
      </c>
      <c r="G2823" s="25" t="s">
        <v>164</v>
      </c>
    </row>
    <row r="2824" spans="1:7">
      <c r="A2824" s="21" t="s">
        <v>2897</v>
      </c>
      <c r="B2824" s="22" t="s">
        <v>56</v>
      </c>
      <c r="C2824" s="22" t="s">
        <v>124</v>
      </c>
      <c r="D2824" s="23">
        <v>1</v>
      </c>
      <c r="E2824" s="24">
        <f>SUM($D$2:D2824)/SUM($D$2:$D$2846)</f>
        <v>0.9981308411214953</v>
      </c>
      <c r="F2824" s="22" t="s">
        <v>53</v>
      </c>
      <c r="G2824" s="25" t="s">
        <v>125</v>
      </c>
    </row>
    <row r="2825" spans="1:7">
      <c r="A2825" s="21" t="s">
        <v>2898</v>
      </c>
      <c r="B2825" s="22" t="s">
        <v>56</v>
      </c>
      <c r="C2825" s="22" t="s">
        <v>124</v>
      </c>
      <c r="D2825" s="23">
        <v>1</v>
      </c>
      <c r="E2825" s="24">
        <f>SUM($D$2:D2825)/SUM($D$2:$D$2846)</f>
        <v>0.99821580288870004</v>
      </c>
      <c r="F2825" s="22" t="s">
        <v>53</v>
      </c>
      <c r="G2825" s="25" t="s">
        <v>125</v>
      </c>
    </row>
    <row r="2826" spans="1:7">
      <c r="A2826" s="21" t="s">
        <v>2899</v>
      </c>
      <c r="B2826" s="22" t="s">
        <v>56</v>
      </c>
      <c r="C2826" s="22" t="s">
        <v>124</v>
      </c>
      <c r="D2826" s="23">
        <v>1</v>
      </c>
      <c r="E2826" s="24">
        <f>SUM($D$2:D2826)/SUM($D$2:$D$2846)</f>
        <v>0.99830076465590489</v>
      </c>
      <c r="F2826" s="22" t="s">
        <v>53</v>
      </c>
      <c r="G2826" s="25" t="s">
        <v>125</v>
      </c>
    </row>
    <row r="2827" spans="1:7">
      <c r="A2827" s="21" t="s">
        <v>2900</v>
      </c>
      <c r="B2827" s="22" t="s">
        <v>56</v>
      </c>
      <c r="C2827" s="22" t="s">
        <v>124</v>
      </c>
      <c r="D2827" s="23">
        <v>1</v>
      </c>
      <c r="E2827" s="24">
        <f>SUM($D$2:D2827)/SUM($D$2:$D$2846)</f>
        <v>0.99838572642310963</v>
      </c>
      <c r="F2827" s="22" t="s">
        <v>53</v>
      </c>
      <c r="G2827" s="25" t="s">
        <v>125</v>
      </c>
    </row>
    <row r="2828" spans="1:7">
      <c r="A2828" s="21" t="s">
        <v>2901</v>
      </c>
      <c r="B2828" s="22" t="s">
        <v>56</v>
      </c>
      <c r="C2828" s="22" t="s">
        <v>124</v>
      </c>
      <c r="D2828" s="23">
        <v>1</v>
      </c>
      <c r="E2828" s="24">
        <f>SUM($D$2:D2828)/SUM($D$2:$D$2846)</f>
        <v>0.99847068819031437</v>
      </c>
      <c r="F2828" s="22" t="s">
        <v>53</v>
      </c>
      <c r="G2828" s="25" t="s">
        <v>125</v>
      </c>
    </row>
    <row r="2829" spans="1:7">
      <c r="A2829" s="21" t="s">
        <v>2902</v>
      </c>
      <c r="B2829" s="26" t="s">
        <v>163</v>
      </c>
      <c r="C2829" s="22" t="s">
        <v>45</v>
      </c>
      <c r="D2829" s="23">
        <v>1</v>
      </c>
      <c r="E2829" s="24">
        <f>SUM($D$2:D2829)/SUM($D$2:$D$2846)</f>
        <v>0.99855564995751911</v>
      </c>
      <c r="F2829" s="22" t="s">
        <v>53</v>
      </c>
      <c r="G2829" s="25" t="s">
        <v>164</v>
      </c>
    </row>
    <row r="2830" spans="1:7">
      <c r="A2830" s="21" t="s">
        <v>2903</v>
      </c>
      <c r="B2830" s="26" t="s">
        <v>163</v>
      </c>
      <c r="C2830" s="22" t="s">
        <v>45</v>
      </c>
      <c r="D2830" s="23">
        <v>1</v>
      </c>
      <c r="E2830" s="24">
        <f>SUM($D$2:D2830)/SUM($D$2:$D$2846)</f>
        <v>0.99864061172472385</v>
      </c>
      <c r="F2830" s="22" t="s">
        <v>53</v>
      </c>
      <c r="G2830" s="25" t="s">
        <v>164</v>
      </c>
    </row>
    <row r="2831" spans="1:7">
      <c r="A2831" s="21" t="s">
        <v>2904</v>
      </c>
      <c r="B2831" s="26" t="s">
        <v>163</v>
      </c>
      <c r="C2831" s="22" t="s">
        <v>45</v>
      </c>
      <c r="D2831" s="23">
        <v>1</v>
      </c>
      <c r="E2831" s="24">
        <f>SUM($D$2:D2831)/SUM($D$2:$D$2846)</f>
        <v>0.99872557349192859</v>
      </c>
      <c r="F2831" s="22" t="s">
        <v>53</v>
      </c>
      <c r="G2831" s="25" t="s">
        <v>164</v>
      </c>
    </row>
    <row r="2832" spans="1:7">
      <c r="A2832" s="21" t="s">
        <v>2905</v>
      </c>
      <c r="B2832" s="26" t="s">
        <v>163</v>
      </c>
      <c r="C2832" s="22" t="s">
        <v>45</v>
      </c>
      <c r="D2832" s="23">
        <v>1</v>
      </c>
      <c r="E2832" s="24">
        <f>SUM($D$2:D2832)/SUM($D$2:$D$2846)</f>
        <v>0.99881053525913344</v>
      </c>
      <c r="F2832" s="22" t="s">
        <v>53</v>
      </c>
      <c r="G2832" s="25" t="s">
        <v>164</v>
      </c>
    </row>
    <row r="2833" spans="1:7">
      <c r="A2833" s="21" t="s">
        <v>2906</v>
      </c>
      <c r="B2833" s="26" t="s">
        <v>163</v>
      </c>
      <c r="C2833" s="22" t="s">
        <v>45</v>
      </c>
      <c r="D2833" s="23">
        <v>1</v>
      </c>
      <c r="E2833" s="24">
        <f>SUM($D$2:D2833)/SUM($D$2:$D$2846)</f>
        <v>0.99889549702633817</v>
      </c>
      <c r="F2833" s="22" t="s">
        <v>53</v>
      </c>
      <c r="G2833" s="25" t="s">
        <v>164</v>
      </c>
    </row>
    <row r="2834" spans="1:7">
      <c r="A2834" s="21" t="s">
        <v>2907</v>
      </c>
      <c r="B2834" s="26" t="s">
        <v>163</v>
      </c>
      <c r="C2834" s="22" t="s">
        <v>45</v>
      </c>
      <c r="D2834" s="23">
        <v>1</v>
      </c>
      <c r="E2834" s="24">
        <f>SUM($D$2:D2834)/SUM($D$2:$D$2846)</f>
        <v>0.99898045879354291</v>
      </c>
      <c r="F2834" s="22" t="s">
        <v>53</v>
      </c>
      <c r="G2834" s="25" t="s">
        <v>164</v>
      </c>
    </row>
    <row r="2835" spans="1:7">
      <c r="A2835" s="21" t="s">
        <v>2908</v>
      </c>
      <c r="B2835" s="26" t="s">
        <v>163</v>
      </c>
      <c r="C2835" s="22" t="s">
        <v>45</v>
      </c>
      <c r="D2835" s="23">
        <v>1</v>
      </c>
      <c r="E2835" s="24">
        <f>SUM($D$2:D2835)/SUM($D$2:$D$2846)</f>
        <v>0.99906542056074765</v>
      </c>
      <c r="F2835" s="22" t="s">
        <v>53</v>
      </c>
      <c r="G2835" s="25" t="s">
        <v>164</v>
      </c>
    </row>
    <row r="2836" spans="1:7">
      <c r="A2836" s="21" t="s">
        <v>2909</v>
      </c>
      <c r="B2836" s="26" t="s">
        <v>163</v>
      </c>
      <c r="C2836" s="22" t="s">
        <v>45</v>
      </c>
      <c r="D2836" s="23">
        <v>1</v>
      </c>
      <c r="E2836" s="24">
        <f>SUM($D$2:D2836)/SUM($D$2:$D$2846)</f>
        <v>0.99915038232795239</v>
      </c>
      <c r="F2836" s="22" t="s">
        <v>53</v>
      </c>
      <c r="G2836" s="25" t="s">
        <v>164</v>
      </c>
    </row>
    <row r="2837" spans="1:7">
      <c r="A2837" s="21" t="s">
        <v>2910</v>
      </c>
      <c r="B2837" s="26" t="s">
        <v>163</v>
      </c>
      <c r="C2837" s="22" t="s">
        <v>45</v>
      </c>
      <c r="D2837" s="23">
        <v>1</v>
      </c>
      <c r="E2837" s="24">
        <f>SUM($D$2:D2837)/SUM($D$2:$D$2846)</f>
        <v>0.99923534409515713</v>
      </c>
      <c r="F2837" s="22" t="s">
        <v>53</v>
      </c>
      <c r="G2837" s="25" t="s">
        <v>164</v>
      </c>
    </row>
    <row r="2838" spans="1:7">
      <c r="A2838" s="21" t="s">
        <v>2911</v>
      </c>
      <c r="B2838" s="26" t="s">
        <v>163</v>
      </c>
      <c r="C2838" s="22" t="s">
        <v>45</v>
      </c>
      <c r="D2838" s="23">
        <v>1</v>
      </c>
      <c r="E2838" s="24">
        <f>SUM($D$2:D2838)/SUM($D$2:$D$2846)</f>
        <v>0.99932030586236198</v>
      </c>
      <c r="F2838" s="22" t="s">
        <v>53</v>
      </c>
      <c r="G2838" s="25" t="s">
        <v>164</v>
      </c>
    </row>
    <row r="2839" spans="1:7">
      <c r="A2839" s="21" t="s">
        <v>2912</v>
      </c>
      <c r="B2839" s="26" t="s">
        <v>163</v>
      </c>
      <c r="C2839" s="22" t="s">
        <v>45</v>
      </c>
      <c r="D2839" s="23">
        <v>1</v>
      </c>
      <c r="E2839" s="24">
        <f>SUM($D$2:D2839)/SUM($D$2:$D$2846)</f>
        <v>0.99940526762956672</v>
      </c>
      <c r="F2839" s="22" t="s">
        <v>53</v>
      </c>
      <c r="G2839" s="25" t="s">
        <v>164</v>
      </c>
    </row>
    <row r="2840" spans="1:7">
      <c r="A2840" s="21" t="s">
        <v>2913</v>
      </c>
      <c r="B2840" s="22" t="s">
        <v>56</v>
      </c>
      <c r="C2840" s="22" t="s">
        <v>124</v>
      </c>
      <c r="D2840" s="23">
        <v>1</v>
      </c>
      <c r="E2840" s="24">
        <f>SUM($D$2:D2840)/SUM($D$2:$D$2846)</f>
        <v>0.99949022939677146</v>
      </c>
      <c r="F2840" s="22" t="s">
        <v>53</v>
      </c>
      <c r="G2840" s="25" t="s">
        <v>125</v>
      </c>
    </row>
    <row r="2841" spans="1:7">
      <c r="A2841" s="21" t="s">
        <v>2914</v>
      </c>
      <c r="B2841" s="26" t="s">
        <v>163</v>
      </c>
      <c r="C2841" s="22" t="s">
        <v>45</v>
      </c>
      <c r="D2841" s="23">
        <v>1</v>
      </c>
      <c r="E2841" s="24">
        <f>SUM($D$2:D2841)/SUM($D$2:$D$2846)</f>
        <v>0.9995751911639762</v>
      </c>
      <c r="F2841" s="22" t="s">
        <v>53</v>
      </c>
      <c r="G2841" s="25" t="s">
        <v>164</v>
      </c>
    </row>
    <row r="2842" spans="1:7">
      <c r="A2842" s="21" t="s">
        <v>2915</v>
      </c>
      <c r="B2842" s="26" t="s">
        <v>163</v>
      </c>
      <c r="C2842" s="22" t="s">
        <v>45</v>
      </c>
      <c r="D2842" s="23">
        <v>1</v>
      </c>
      <c r="E2842" s="24">
        <f>SUM($D$2:D2842)/SUM($D$2:$D$2846)</f>
        <v>0.99966015293118093</v>
      </c>
      <c r="F2842" s="22" t="s">
        <v>53</v>
      </c>
      <c r="G2842" s="25" t="s">
        <v>164</v>
      </c>
    </row>
    <row r="2843" spans="1:7">
      <c r="A2843" s="21" t="s">
        <v>2916</v>
      </c>
      <c r="B2843" s="26" t="s">
        <v>163</v>
      </c>
      <c r="C2843" s="22" t="s">
        <v>45</v>
      </c>
      <c r="D2843" s="23">
        <v>1</v>
      </c>
      <c r="E2843" s="24">
        <f>SUM($D$2:D2843)/SUM($D$2:$D$2846)</f>
        <v>0.99974511469838567</v>
      </c>
      <c r="F2843" s="22" t="s">
        <v>53</v>
      </c>
      <c r="G2843" s="25" t="s">
        <v>164</v>
      </c>
    </row>
    <row r="2844" spans="1:7">
      <c r="A2844" s="21" t="s">
        <v>2917</v>
      </c>
      <c r="B2844" s="26" t="s">
        <v>163</v>
      </c>
      <c r="C2844" s="22" t="s">
        <v>45</v>
      </c>
      <c r="D2844" s="23">
        <v>1</v>
      </c>
      <c r="E2844" s="24">
        <f>SUM($D$2:D2844)/SUM($D$2:$D$2846)</f>
        <v>0.99983007646559052</v>
      </c>
      <c r="F2844" s="22" t="s">
        <v>53</v>
      </c>
      <c r="G2844" s="25" t="s">
        <v>164</v>
      </c>
    </row>
    <row r="2845" spans="1:7">
      <c r="A2845" s="21" t="s">
        <v>2918</v>
      </c>
      <c r="B2845" s="26" t="s">
        <v>163</v>
      </c>
      <c r="C2845" s="22" t="s">
        <v>45</v>
      </c>
      <c r="D2845" s="23">
        <v>1</v>
      </c>
      <c r="E2845" s="24">
        <f>SUM($D$2:D2845)/SUM($D$2:$D$2846)</f>
        <v>0.99991503823279526</v>
      </c>
      <c r="F2845" s="22" t="s">
        <v>53</v>
      </c>
      <c r="G2845" s="25" t="s">
        <v>164</v>
      </c>
    </row>
    <row r="2846" spans="1:7">
      <c r="A2846" s="21" t="s">
        <v>2919</v>
      </c>
      <c r="B2846" s="22" t="s">
        <v>56</v>
      </c>
      <c r="C2846" s="22" t="s">
        <v>124</v>
      </c>
      <c r="D2846" s="23">
        <v>1</v>
      </c>
      <c r="E2846" s="24">
        <f>SUM($D$2:D2846)/SUM($D$2:$D$2846)</f>
        <v>1</v>
      </c>
      <c r="F2846" s="22" t="s">
        <v>53</v>
      </c>
      <c r="G2846" s="25" t="s">
        <v>125</v>
      </c>
    </row>
  </sheetData>
  <autoFilter ref="A1:G2846" xr:uid="{00000000-0009-0000-0000-000002000000}"/>
  <phoneticPr fontId="22" type="noConversion"/>
  <dataValidations count="1">
    <dataValidation type="list" allowBlank="1" errorTitle="sector 取值不对" error="只能填 company / university / public_rd / individual / exclude" sqref="B2:B2846" xr:uid="{00000000-0002-0000-0200-000000000000}">
      <formula1>"company,university,public_rd,individual,exclude"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8"/>
  <sheetViews>
    <sheetView zoomScaleNormal="100" workbookViewId="0">
      <pane ySplit="1" topLeftCell="A269" activePane="bottomLeft" state="frozen"/>
      <selection pane="bottomLeft" activeCell="A285" sqref="A285"/>
    </sheetView>
  </sheetViews>
  <sheetFormatPr defaultColWidth="8.69140625" defaultRowHeight="14.6"/>
  <cols>
    <col min="1" max="1" width="42" customWidth="1"/>
    <col min="2" max="2" width="58" customWidth="1"/>
    <col min="3" max="3" width="9" customWidth="1"/>
    <col min="4" max="4" width="14" customWidth="1"/>
  </cols>
  <sheetData>
    <row r="1" spans="1:4">
      <c r="A1" s="6" t="s">
        <v>2920</v>
      </c>
      <c r="B1" s="6" t="s">
        <v>2921</v>
      </c>
      <c r="C1" s="6" t="s">
        <v>11</v>
      </c>
      <c r="D1" s="6" t="s">
        <v>2922</v>
      </c>
    </row>
    <row r="2" spans="1:4">
      <c r="A2" s="27" t="s">
        <v>2923</v>
      </c>
      <c r="B2" s="28" t="s">
        <v>2924</v>
      </c>
      <c r="C2" s="27">
        <v>461</v>
      </c>
      <c r="D2" s="29"/>
    </row>
    <row r="3" spans="1:4">
      <c r="B3" s="30" t="s">
        <v>131</v>
      </c>
      <c r="C3" s="1">
        <v>459</v>
      </c>
      <c r="D3" s="1" t="s">
        <v>56</v>
      </c>
    </row>
    <row r="4" spans="1:4">
      <c r="B4" s="30" t="s">
        <v>2248</v>
      </c>
      <c r="C4" s="1">
        <v>1</v>
      </c>
      <c r="D4" s="1" t="s">
        <v>56</v>
      </c>
    </row>
    <row r="5" spans="1:4">
      <c r="B5" s="30" t="s">
        <v>2249</v>
      </c>
      <c r="C5" s="1">
        <v>1</v>
      </c>
      <c r="D5" s="1" t="s">
        <v>56</v>
      </c>
    </row>
    <row r="6" spans="1:4">
      <c r="A6" s="27" t="s">
        <v>2925</v>
      </c>
      <c r="B6" s="28" t="s">
        <v>2926</v>
      </c>
      <c r="C6" s="27">
        <v>312</v>
      </c>
      <c r="D6" s="29"/>
    </row>
    <row r="7" spans="1:4">
      <c r="B7" s="30" t="s">
        <v>133</v>
      </c>
      <c r="C7" s="1">
        <v>311</v>
      </c>
      <c r="D7" s="1" t="s">
        <v>56</v>
      </c>
    </row>
    <row r="8" spans="1:4">
      <c r="B8" s="30" t="s">
        <v>2657</v>
      </c>
      <c r="C8" s="1">
        <v>1</v>
      </c>
      <c r="D8" s="1" t="s">
        <v>56</v>
      </c>
    </row>
    <row r="9" spans="1:4">
      <c r="A9" s="27" t="s">
        <v>2927</v>
      </c>
      <c r="B9" s="28" t="s">
        <v>2926</v>
      </c>
      <c r="C9" s="27">
        <v>126</v>
      </c>
      <c r="D9" s="29"/>
    </row>
    <row r="10" spans="1:4">
      <c r="B10" s="30" t="s">
        <v>140</v>
      </c>
      <c r="C10" s="1">
        <v>112</v>
      </c>
      <c r="D10" s="1" t="s">
        <v>56</v>
      </c>
    </row>
    <row r="11" spans="1:4">
      <c r="B11" s="30" t="s">
        <v>219</v>
      </c>
      <c r="C11" s="1">
        <v>14</v>
      </c>
      <c r="D11" s="1" t="s">
        <v>56</v>
      </c>
    </row>
    <row r="12" spans="1:4">
      <c r="A12" s="27" t="s">
        <v>2928</v>
      </c>
      <c r="B12" s="28" t="s">
        <v>2926</v>
      </c>
      <c r="C12" s="27">
        <v>66</v>
      </c>
      <c r="D12" s="29"/>
    </row>
    <row r="13" spans="1:4">
      <c r="B13" s="30" t="s">
        <v>149</v>
      </c>
      <c r="C13" s="1">
        <v>59</v>
      </c>
      <c r="D13" s="1" t="s">
        <v>44</v>
      </c>
    </row>
    <row r="14" spans="1:4">
      <c r="B14" s="30" t="s">
        <v>321</v>
      </c>
      <c r="C14" s="1">
        <v>7</v>
      </c>
      <c r="D14" s="1" t="s">
        <v>44</v>
      </c>
    </row>
    <row r="15" spans="1:4">
      <c r="A15" s="27" t="s">
        <v>2929</v>
      </c>
      <c r="B15" s="28" t="s">
        <v>2926</v>
      </c>
      <c r="C15" s="27">
        <v>65</v>
      </c>
      <c r="D15" s="29"/>
    </row>
    <row r="16" spans="1:4">
      <c r="B16" s="30" t="s">
        <v>146</v>
      </c>
      <c r="C16" s="1">
        <v>64</v>
      </c>
      <c r="D16" s="1" t="s">
        <v>56</v>
      </c>
    </row>
    <row r="17" spans="1:4">
      <c r="B17" s="30" t="s">
        <v>2079</v>
      </c>
      <c r="C17" s="1">
        <v>1</v>
      </c>
      <c r="D17" s="1" t="s">
        <v>56</v>
      </c>
    </row>
    <row r="18" spans="1:4">
      <c r="A18" s="27" t="s">
        <v>2930</v>
      </c>
      <c r="B18" s="28" t="s">
        <v>2926</v>
      </c>
      <c r="C18" s="27">
        <v>52</v>
      </c>
      <c r="D18" s="29"/>
    </row>
    <row r="19" spans="1:4">
      <c r="B19" s="30" t="s">
        <v>157</v>
      </c>
      <c r="C19" s="1">
        <v>50</v>
      </c>
      <c r="D19" s="1" t="s">
        <v>56</v>
      </c>
    </row>
    <row r="20" spans="1:4">
      <c r="B20" s="30" t="s">
        <v>1005</v>
      </c>
      <c r="C20" s="1">
        <v>2</v>
      </c>
      <c r="D20" s="1" t="s">
        <v>56</v>
      </c>
    </row>
    <row r="21" spans="1:4">
      <c r="A21" s="27" t="s">
        <v>2931</v>
      </c>
      <c r="B21" s="28" t="s">
        <v>2926</v>
      </c>
      <c r="C21" s="27">
        <v>49</v>
      </c>
      <c r="D21" s="29"/>
    </row>
    <row r="22" spans="1:4">
      <c r="B22" s="30" t="s">
        <v>159</v>
      </c>
      <c r="C22" s="1">
        <v>48</v>
      </c>
      <c r="D22" s="1" t="s">
        <v>56</v>
      </c>
    </row>
    <row r="23" spans="1:4">
      <c r="B23" s="30" t="s">
        <v>2666</v>
      </c>
      <c r="C23" s="1">
        <v>1</v>
      </c>
      <c r="D23" s="1" t="s">
        <v>56</v>
      </c>
    </row>
    <row r="24" spans="1:4">
      <c r="A24" s="27" t="s">
        <v>2932</v>
      </c>
      <c r="B24" s="28" t="s">
        <v>2926</v>
      </c>
      <c r="C24" s="27">
        <v>40</v>
      </c>
      <c r="D24" s="29"/>
    </row>
    <row r="25" spans="1:4">
      <c r="B25" s="30" t="s">
        <v>171</v>
      </c>
      <c r="C25" s="1">
        <v>35</v>
      </c>
      <c r="D25" s="1" t="s">
        <v>56</v>
      </c>
    </row>
    <row r="26" spans="1:4">
      <c r="B26" s="30" t="s">
        <v>388</v>
      </c>
      <c r="C26" s="1">
        <v>5</v>
      </c>
      <c r="D26" s="1" t="s">
        <v>56</v>
      </c>
    </row>
    <row r="27" spans="1:4">
      <c r="A27" s="27" t="s">
        <v>2933</v>
      </c>
      <c r="B27" s="28" t="s">
        <v>2926</v>
      </c>
      <c r="C27" s="27">
        <v>33</v>
      </c>
      <c r="D27" s="29"/>
    </row>
    <row r="28" spans="1:4">
      <c r="B28" s="30" t="s">
        <v>174</v>
      </c>
      <c r="C28" s="1">
        <v>31</v>
      </c>
      <c r="D28" s="1" t="s">
        <v>56</v>
      </c>
    </row>
    <row r="29" spans="1:4">
      <c r="B29" s="30" t="s">
        <v>858</v>
      </c>
      <c r="C29" s="1">
        <v>2</v>
      </c>
      <c r="D29" s="1" t="s">
        <v>56</v>
      </c>
    </row>
    <row r="30" spans="1:4">
      <c r="A30" s="27" t="s">
        <v>500</v>
      </c>
      <c r="B30" s="28" t="s">
        <v>2926</v>
      </c>
      <c r="C30" s="27">
        <v>33</v>
      </c>
      <c r="D30" s="29"/>
    </row>
    <row r="31" spans="1:4">
      <c r="B31" s="30" t="s">
        <v>178</v>
      </c>
      <c r="C31" s="1">
        <v>29</v>
      </c>
      <c r="D31" s="1" t="s">
        <v>44</v>
      </c>
    </row>
    <row r="32" spans="1:4">
      <c r="B32" s="30" t="s">
        <v>500</v>
      </c>
      <c r="C32" s="1">
        <v>4</v>
      </c>
      <c r="D32" s="1" t="s">
        <v>44</v>
      </c>
    </row>
    <row r="33" spans="1:4">
      <c r="A33" s="27" t="s">
        <v>2934</v>
      </c>
      <c r="B33" s="28" t="s">
        <v>2935</v>
      </c>
      <c r="C33" s="27">
        <v>33</v>
      </c>
      <c r="D33" s="29"/>
    </row>
    <row r="34" spans="1:4">
      <c r="B34" s="30" t="s">
        <v>216</v>
      </c>
      <c r="C34" s="1">
        <v>14</v>
      </c>
      <c r="D34" s="1" t="s">
        <v>56</v>
      </c>
    </row>
    <row r="35" spans="1:4">
      <c r="B35" s="30" t="s">
        <v>250</v>
      </c>
      <c r="C35" s="1">
        <v>10</v>
      </c>
      <c r="D35" s="1" t="s">
        <v>56</v>
      </c>
    </row>
    <row r="36" spans="1:4">
      <c r="B36" s="30" t="s">
        <v>307</v>
      </c>
      <c r="C36" s="1">
        <v>7</v>
      </c>
      <c r="D36" s="1" t="s">
        <v>56</v>
      </c>
    </row>
    <row r="37" spans="1:4">
      <c r="B37" s="30" t="s">
        <v>812</v>
      </c>
      <c r="C37" s="1">
        <v>2</v>
      </c>
      <c r="D37" s="1" t="s">
        <v>56</v>
      </c>
    </row>
    <row r="38" spans="1:4">
      <c r="A38" s="27" t="s">
        <v>2936</v>
      </c>
      <c r="B38" s="28" t="s">
        <v>2924</v>
      </c>
      <c r="C38" s="27">
        <v>30</v>
      </c>
      <c r="D38" s="29"/>
    </row>
    <row r="39" spans="1:4">
      <c r="B39" s="30" t="s">
        <v>212</v>
      </c>
      <c r="C39" s="1">
        <v>15</v>
      </c>
      <c r="D39" s="1" t="s">
        <v>56</v>
      </c>
    </row>
    <row r="40" spans="1:4">
      <c r="B40" s="30" t="s">
        <v>253</v>
      </c>
      <c r="C40" s="1">
        <v>10</v>
      </c>
      <c r="D40" s="1" t="s">
        <v>56</v>
      </c>
    </row>
    <row r="41" spans="1:4">
      <c r="B41" s="30" t="s">
        <v>389</v>
      </c>
      <c r="C41" s="1">
        <v>5</v>
      </c>
      <c r="D41" s="1" t="s">
        <v>56</v>
      </c>
    </row>
    <row r="42" spans="1:4">
      <c r="A42" s="27" t="s">
        <v>65</v>
      </c>
      <c r="B42" s="28" t="s">
        <v>2926</v>
      </c>
      <c r="C42" s="27">
        <v>28</v>
      </c>
      <c r="D42" s="29"/>
    </row>
    <row r="43" spans="1:4">
      <c r="B43" s="30" t="s">
        <v>183</v>
      </c>
      <c r="C43" s="1">
        <v>26</v>
      </c>
      <c r="D43" s="1" t="s">
        <v>56</v>
      </c>
    </row>
    <row r="44" spans="1:4">
      <c r="B44" s="30" t="s">
        <v>65</v>
      </c>
      <c r="C44" s="1">
        <v>2</v>
      </c>
      <c r="D44" s="1" t="s">
        <v>56</v>
      </c>
    </row>
    <row r="45" spans="1:4">
      <c r="A45" s="27" t="s">
        <v>2937</v>
      </c>
      <c r="B45" s="28" t="s">
        <v>2924</v>
      </c>
      <c r="C45" s="27">
        <v>28</v>
      </c>
      <c r="D45" s="29"/>
    </row>
    <row r="46" spans="1:4">
      <c r="B46" s="30" t="s">
        <v>189</v>
      </c>
      <c r="C46" s="1">
        <v>23</v>
      </c>
      <c r="D46" s="1" t="s">
        <v>56</v>
      </c>
    </row>
    <row r="47" spans="1:4">
      <c r="B47" s="30" t="s">
        <v>550</v>
      </c>
      <c r="C47" s="1">
        <v>3</v>
      </c>
      <c r="D47" s="1" t="s">
        <v>56</v>
      </c>
    </row>
    <row r="48" spans="1:4">
      <c r="B48" s="30" t="s">
        <v>755</v>
      </c>
      <c r="C48" s="1">
        <v>2</v>
      </c>
      <c r="D48" s="1" t="s">
        <v>56</v>
      </c>
    </row>
    <row r="49" spans="1:4">
      <c r="A49" s="27" t="s">
        <v>2938</v>
      </c>
      <c r="B49" s="28" t="s">
        <v>2926</v>
      </c>
      <c r="C49" s="27">
        <v>25</v>
      </c>
      <c r="D49" s="29"/>
    </row>
    <row r="50" spans="1:4">
      <c r="B50" s="30" t="s">
        <v>205</v>
      </c>
      <c r="C50" s="1">
        <v>16</v>
      </c>
      <c r="D50" s="1" t="s">
        <v>56</v>
      </c>
    </row>
    <row r="51" spans="1:4">
      <c r="B51" s="30" t="s">
        <v>265</v>
      </c>
      <c r="C51" s="1">
        <v>9</v>
      </c>
      <c r="D51" s="1" t="s">
        <v>56</v>
      </c>
    </row>
    <row r="52" spans="1:4">
      <c r="A52" s="27" t="s">
        <v>193</v>
      </c>
      <c r="B52" s="28" t="s">
        <v>2924</v>
      </c>
      <c r="C52" s="27">
        <v>21</v>
      </c>
      <c r="D52" s="29"/>
    </row>
    <row r="53" spans="1:4">
      <c r="B53" s="30" t="s">
        <v>193</v>
      </c>
      <c r="C53" s="1">
        <v>19</v>
      </c>
      <c r="D53" s="1" t="s">
        <v>44</v>
      </c>
    </row>
    <row r="54" spans="1:4">
      <c r="B54" s="30" t="s">
        <v>1755</v>
      </c>
      <c r="C54" s="1">
        <v>1</v>
      </c>
      <c r="D54" s="1" t="s">
        <v>44</v>
      </c>
    </row>
    <row r="55" spans="1:4">
      <c r="B55" s="30" t="s">
        <v>1756</v>
      </c>
      <c r="C55" s="1">
        <v>1</v>
      </c>
      <c r="D55" s="1" t="s">
        <v>44</v>
      </c>
    </row>
    <row r="56" spans="1:4">
      <c r="A56" s="27" t="s">
        <v>2939</v>
      </c>
      <c r="B56" s="28" t="s">
        <v>2926</v>
      </c>
      <c r="C56" s="27">
        <v>21</v>
      </c>
      <c r="D56" s="29"/>
    </row>
    <row r="57" spans="1:4">
      <c r="B57" s="30" t="s">
        <v>239</v>
      </c>
      <c r="C57" s="1">
        <v>11</v>
      </c>
      <c r="D57" s="1" t="s">
        <v>56</v>
      </c>
    </row>
    <row r="58" spans="1:4">
      <c r="B58" s="30" t="s">
        <v>248</v>
      </c>
      <c r="C58" s="1">
        <v>10</v>
      </c>
      <c r="D58" s="1" t="s">
        <v>56</v>
      </c>
    </row>
    <row r="59" spans="1:4">
      <c r="A59" s="27" t="s">
        <v>2940</v>
      </c>
      <c r="B59" s="28" t="s">
        <v>2926</v>
      </c>
      <c r="C59" s="27">
        <v>20</v>
      </c>
      <c r="D59" s="29"/>
    </row>
    <row r="60" spans="1:4">
      <c r="B60" s="30" t="s">
        <v>236</v>
      </c>
      <c r="C60" s="1">
        <v>12</v>
      </c>
      <c r="D60" s="1" t="s">
        <v>56</v>
      </c>
    </row>
    <row r="61" spans="1:4">
      <c r="B61" s="30" t="s">
        <v>290</v>
      </c>
      <c r="C61" s="1">
        <v>8</v>
      </c>
      <c r="D61" s="1" t="s">
        <v>56</v>
      </c>
    </row>
    <row r="62" spans="1:4">
      <c r="A62" s="27" t="s">
        <v>2941</v>
      </c>
      <c r="B62" s="28" t="s">
        <v>2924</v>
      </c>
      <c r="C62" s="27">
        <v>19</v>
      </c>
      <c r="D62" s="29"/>
    </row>
    <row r="63" spans="1:4">
      <c r="B63" s="30" t="s">
        <v>207</v>
      </c>
      <c r="C63" s="1">
        <v>15</v>
      </c>
      <c r="D63" s="1" t="s">
        <v>56</v>
      </c>
    </row>
    <row r="64" spans="1:4">
      <c r="B64" s="30" t="s">
        <v>514</v>
      </c>
      <c r="C64" s="1">
        <v>3</v>
      </c>
      <c r="D64" s="1" t="s">
        <v>56</v>
      </c>
    </row>
    <row r="65" spans="1:4">
      <c r="B65" s="30" t="s">
        <v>1042</v>
      </c>
      <c r="C65" s="1">
        <v>1</v>
      </c>
      <c r="D65" s="1" t="s">
        <v>56</v>
      </c>
    </row>
    <row r="66" spans="1:4">
      <c r="A66" s="27" t="s">
        <v>2942</v>
      </c>
      <c r="B66" s="28" t="s">
        <v>2926</v>
      </c>
      <c r="C66" s="27">
        <v>19</v>
      </c>
      <c r="D66" s="29"/>
    </row>
    <row r="67" spans="1:4">
      <c r="B67" s="30" t="s">
        <v>211</v>
      </c>
      <c r="C67" s="1">
        <v>15</v>
      </c>
      <c r="D67" s="1" t="s">
        <v>56</v>
      </c>
    </row>
    <row r="68" spans="1:4">
      <c r="B68" s="30" t="s">
        <v>460</v>
      </c>
      <c r="C68" s="1">
        <v>4</v>
      </c>
      <c r="D68" s="1" t="s">
        <v>56</v>
      </c>
    </row>
    <row r="69" spans="1:4">
      <c r="A69" s="27" t="s">
        <v>2943</v>
      </c>
      <c r="B69" s="28" t="s">
        <v>2926</v>
      </c>
      <c r="C69" s="27">
        <v>17</v>
      </c>
      <c r="D69" s="29"/>
    </row>
    <row r="70" spans="1:4">
      <c r="B70" s="30" t="s">
        <v>201</v>
      </c>
      <c r="C70" s="1">
        <v>16</v>
      </c>
      <c r="D70" s="1" t="s">
        <v>56</v>
      </c>
    </row>
    <row r="71" spans="1:4">
      <c r="B71" s="30" t="s">
        <v>1629</v>
      </c>
      <c r="C71" s="1">
        <v>1</v>
      </c>
      <c r="D71" s="1" t="s">
        <v>56</v>
      </c>
    </row>
    <row r="72" spans="1:4">
      <c r="A72" s="27" t="s">
        <v>114</v>
      </c>
      <c r="B72" s="28" t="s">
        <v>2926</v>
      </c>
      <c r="C72" s="27">
        <v>15</v>
      </c>
      <c r="D72" s="29"/>
    </row>
    <row r="73" spans="1:4">
      <c r="B73" s="30" t="s">
        <v>221</v>
      </c>
      <c r="C73" s="1">
        <v>14</v>
      </c>
      <c r="D73" s="1" t="s">
        <v>56</v>
      </c>
    </row>
    <row r="74" spans="1:4">
      <c r="B74" s="30" t="s">
        <v>114</v>
      </c>
      <c r="C74" s="1">
        <v>1</v>
      </c>
      <c r="D74" s="1"/>
    </row>
    <row r="75" spans="1:4">
      <c r="A75" s="27" t="s">
        <v>2944</v>
      </c>
      <c r="B75" s="28" t="s">
        <v>2924</v>
      </c>
      <c r="C75" s="27">
        <v>15</v>
      </c>
      <c r="D75" s="29"/>
    </row>
    <row r="76" spans="1:4">
      <c r="B76" s="30" t="s">
        <v>283</v>
      </c>
      <c r="C76" s="1">
        <v>8</v>
      </c>
      <c r="D76" s="1" t="s">
        <v>56</v>
      </c>
    </row>
    <row r="77" spans="1:4">
      <c r="B77" s="30" t="s">
        <v>351</v>
      </c>
      <c r="C77" s="1">
        <v>6</v>
      </c>
      <c r="D77" s="1" t="s">
        <v>56</v>
      </c>
    </row>
    <row r="78" spans="1:4">
      <c r="B78" s="30" t="s">
        <v>2262</v>
      </c>
      <c r="C78" s="1">
        <v>1</v>
      </c>
      <c r="D78" s="1" t="s">
        <v>56</v>
      </c>
    </row>
    <row r="79" spans="1:4">
      <c r="A79" s="27" t="s">
        <v>2945</v>
      </c>
      <c r="B79" s="28" t="s">
        <v>2926</v>
      </c>
      <c r="C79" s="27">
        <v>13</v>
      </c>
      <c r="D79" s="29"/>
    </row>
    <row r="80" spans="1:4">
      <c r="B80" s="30" t="s">
        <v>233</v>
      </c>
      <c r="C80" s="1">
        <v>12</v>
      </c>
      <c r="D80" s="1" t="s">
        <v>56</v>
      </c>
    </row>
    <row r="81" spans="1:4">
      <c r="B81" s="30" t="s">
        <v>2006</v>
      </c>
      <c r="C81" s="1">
        <v>1</v>
      </c>
      <c r="D81" s="1" t="s">
        <v>56</v>
      </c>
    </row>
    <row r="82" spans="1:4">
      <c r="A82" s="27" t="s">
        <v>2946</v>
      </c>
      <c r="B82" s="28" t="s">
        <v>2926</v>
      </c>
      <c r="C82" s="27">
        <v>11</v>
      </c>
      <c r="D82" s="29"/>
    </row>
    <row r="83" spans="1:4">
      <c r="B83" s="30" t="s">
        <v>328</v>
      </c>
      <c r="C83" s="1">
        <v>6</v>
      </c>
      <c r="D83" s="1" t="s">
        <v>56</v>
      </c>
    </row>
    <row r="84" spans="1:4">
      <c r="B84" s="30" t="s">
        <v>367</v>
      </c>
      <c r="C84" s="1">
        <v>5</v>
      </c>
      <c r="D84" s="1" t="s">
        <v>56</v>
      </c>
    </row>
    <row r="85" spans="1:4">
      <c r="A85" s="27" t="s">
        <v>2947</v>
      </c>
      <c r="B85" s="28" t="s">
        <v>2926</v>
      </c>
      <c r="C85" s="27">
        <v>10</v>
      </c>
      <c r="D85" s="29"/>
    </row>
    <row r="86" spans="1:4">
      <c r="B86" s="30" t="s">
        <v>323</v>
      </c>
      <c r="C86" s="1">
        <v>7</v>
      </c>
      <c r="D86" s="1" t="s">
        <v>56</v>
      </c>
    </row>
    <row r="87" spans="1:4">
      <c r="B87" s="30" t="s">
        <v>620</v>
      </c>
      <c r="C87" s="1">
        <v>3</v>
      </c>
      <c r="D87" s="1" t="s">
        <v>56</v>
      </c>
    </row>
    <row r="88" spans="1:4">
      <c r="A88" s="27" t="s">
        <v>331</v>
      </c>
      <c r="B88" s="28" t="s">
        <v>2926</v>
      </c>
      <c r="C88" s="27">
        <v>10</v>
      </c>
      <c r="D88" s="29"/>
    </row>
    <row r="89" spans="1:4">
      <c r="B89" s="30" t="s">
        <v>331</v>
      </c>
      <c r="C89" s="1">
        <v>6</v>
      </c>
      <c r="D89" s="1" t="s">
        <v>44</v>
      </c>
    </row>
    <row r="90" spans="1:4">
      <c r="B90" s="30" t="s">
        <v>415</v>
      </c>
      <c r="C90" s="1">
        <v>4</v>
      </c>
      <c r="D90" s="1" t="s">
        <v>44</v>
      </c>
    </row>
    <row r="91" spans="1:4">
      <c r="A91" s="27" t="s">
        <v>2948</v>
      </c>
      <c r="B91" s="28" t="s">
        <v>2926</v>
      </c>
      <c r="C91" s="27">
        <v>10</v>
      </c>
      <c r="D91" s="29"/>
    </row>
    <row r="92" spans="1:4">
      <c r="B92" s="30" t="s">
        <v>339</v>
      </c>
      <c r="C92" s="1">
        <v>6</v>
      </c>
      <c r="D92" s="1" t="s">
        <v>56</v>
      </c>
    </row>
    <row r="93" spans="1:4">
      <c r="B93" s="30" t="s">
        <v>432</v>
      </c>
      <c r="C93" s="1">
        <v>4</v>
      </c>
      <c r="D93" s="1" t="s">
        <v>56</v>
      </c>
    </row>
    <row r="94" spans="1:4">
      <c r="A94" s="27" t="s">
        <v>66</v>
      </c>
      <c r="B94" s="28" t="s">
        <v>2926</v>
      </c>
      <c r="C94" s="27">
        <v>9</v>
      </c>
      <c r="D94" s="29"/>
    </row>
    <row r="95" spans="1:4">
      <c r="B95" s="30" t="s">
        <v>266</v>
      </c>
      <c r="C95" s="1">
        <v>8</v>
      </c>
      <c r="D95" s="1" t="s">
        <v>56</v>
      </c>
    </row>
    <row r="96" spans="1:4">
      <c r="B96" s="30" t="s">
        <v>66</v>
      </c>
      <c r="C96" s="1">
        <v>1</v>
      </c>
      <c r="D96" s="1" t="s">
        <v>56</v>
      </c>
    </row>
    <row r="97" spans="1:4">
      <c r="A97" s="27" t="s">
        <v>2949</v>
      </c>
      <c r="B97" s="28" t="s">
        <v>2926</v>
      </c>
      <c r="C97" s="27">
        <v>8</v>
      </c>
      <c r="D97" s="29"/>
    </row>
    <row r="98" spans="1:4">
      <c r="B98" s="30" t="s">
        <v>304</v>
      </c>
      <c r="C98" s="1">
        <v>7</v>
      </c>
      <c r="D98" s="1" t="s">
        <v>56</v>
      </c>
    </row>
    <row r="99" spans="1:4">
      <c r="B99" s="30" t="s">
        <v>1620</v>
      </c>
      <c r="C99" s="1">
        <v>1</v>
      </c>
      <c r="D99" s="1" t="s">
        <v>56</v>
      </c>
    </row>
    <row r="100" spans="1:4">
      <c r="A100" s="27" t="s">
        <v>2950</v>
      </c>
      <c r="B100" s="28" t="s">
        <v>2926</v>
      </c>
      <c r="C100" s="27">
        <v>8</v>
      </c>
      <c r="D100" s="29"/>
    </row>
    <row r="101" spans="1:4">
      <c r="B101" s="30" t="s">
        <v>317</v>
      </c>
      <c r="C101" s="1">
        <v>7</v>
      </c>
      <c r="D101" s="1" t="s">
        <v>56</v>
      </c>
    </row>
    <row r="102" spans="1:4">
      <c r="B102" s="30" t="s">
        <v>2148</v>
      </c>
      <c r="C102" s="1">
        <v>1</v>
      </c>
      <c r="D102" s="1" t="s">
        <v>56</v>
      </c>
    </row>
    <row r="103" spans="1:4">
      <c r="A103" s="27" t="s">
        <v>2951</v>
      </c>
      <c r="B103" s="28" t="s">
        <v>2926</v>
      </c>
      <c r="C103" s="27">
        <v>8</v>
      </c>
      <c r="D103" s="29"/>
    </row>
    <row r="104" spans="1:4">
      <c r="B104" s="30" t="s">
        <v>508</v>
      </c>
      <c r="C104" s="1">
        <v>4</v>
      </c>
      <c r="D104" s="1" t="s">
        <v>56</v>
      </c>
    </row>
    <row r="105" spans="1:4">
      <c r="B105" s="30" t="s">
        <v>509</v>
      </c>
      <c r="C105" s="1">
        <v>4</v>
      </c>
      <c r="D105" s="1" t="s">
        <v>56</v>
      </c>
    </row>
    <row r="106" spans="1:4">
      <c r="A106" s="27" t="s">
        <v>2952</v>
      </c>
      <c r="B106" s="28" t="s">
        <v>2926</v>
      </c>
      <c r="C106" s="27">
        <v>7</v>
      </c>
      <c r="D106" s="29"/>
    </row>
    <row r="107" spans="1:4">
      <c r="B107" s="30" t="s">
        <v>49</v>
      </c>
      <c r="C107" s="1">
        <v>6</v>
      </c>
      <c r="D107" s="1" t="s">
        <v>44</v>
      </c>
    </row>
    <row r="108" spans="1:4">
      <c r="B108" s="30" t="s">
        <v>71</v>
      </c>
      <c r="C108" s="1">
        <v>1</v>
      </c>
      <c r="D108" s="1" t="s">
        <v>44</v>
      </c>
    </row>
    <row r="109" spans="1:4">
      <c r="A109" s="27" t="s">
        <v>2953</v>
      </c>
      <c r="B109" s="28" t="s">
        <v>2926</v>
      </c>
      <c r="C109" s="27">
        <v>7</v>
      </c>
      <c r="D109" s="29"/>
    </row>
    <row r="110" spans="1:4">
      <c r="B110" s="30" t="s">
        <v>358</v>
      </c>
      <c r="C110" s="1">
        <v>6</v>
      </c>
      <c r="D110" s="1" t="s">
        <v>56</v>
      </c>
    </row>
    <row r="111" spans="1:4">
      <c r="B111" s="30" t="s">
        <v>2492</v>
      </c>
      <c r="C111" s="1">
        <v>1</v>
      </c>
      <c r="D111" s="1" t="s">
        <v>56</v>
      </c>
    </row>
    <row r="112" spans="1:4">
      <c r="A112" s="27" t="s">
        <v>2954</v>
      </c>
      <c r="B112" s="28" t="s">
        <v>2926</v>
      </c>
      <c r="C112" s="27">
        <v>7</v>
      </c>
      <c r="D112" s="29"/>
    </row>
    <row r="113" spans="1:4">
      <c r="B113" s="30" t="s">
        <v>510</v>
      </c>
      <c r="C113" s="1">
        <v>4</v>
      </c>
      <c r="D113" s="1" t="s">
        <v>56</v>
      </c>
    </row>
    <row r="114" spans="1:4">
      <c r="B114" s="30" t="s">
        <v>654</v>
      </c>
      <c r="C114" s="1">
        <v>3</v>
      </c>
      <c r="D114" s="1" t="s">
        <v>56</v>
      </c>
    </row>
    <row r="115" spans="1:4">
      <c r="A115" s="27" t="s">
        <v>2955</v>
      </c>
      <c r="B115" s="28" t="s">
        <v>2926</v>
      </c>
      <c r="C115" s="27">
        <v>6</v>
      </c>
      <c r="D115" s="29"/>
    </row>
    <row r="116" spans="1:4">
      <c r="B116" s="30" t="s">
        <v>382</v>
      </c>
      <c r="C116" s="1">
        <v>5</v>
      </c>
      <c r="D116" s="1" t="s">
        <v>56</v>
      </c>
    </row>
    <row r="117" spans="1:4">
      <c r="B117" s="30" t="s">
        <v>1918</v>
      </c>
      <c r="C117" s="1">
        <v>1</v>
      </c>
      <c r="D117" s="1" t="s">
        <v>56</v>
      </c>
    </row>
    <row r="118" spans="1:4">
      <c r="A118" s="27" t="s">
        <v>2956</v>
      </c>
      <c r="B118" s="28" t="s">
        <v>2926</v>
      </c>
      <c r="C118" s="27">
        <v>6</v>
      </c>
      <c r="D118" s="29"/>
    </row>
    <row r="119" spans="1:4">
      <c r="B119" s="30" t="s">
        <v>400</v>
      </c>
      <c r="C119" s="1">
        <v>5</v>
      </c>
      <c r="D119" s="1" t="s">
        <v>56</v>
      </c>
    </row>
    <row r="120" spans="1:4">
      <c r="B120" s="30" t="s">
        <v>2469</v>
      </c>
      <c r="C120" s="1">
        <v>1</v>
      </c>
      <c r="D120" s="1" t="s">
        <v>56</v>
      </c>
    </row>
    <row r="121" spans="1:4">
      <c r="A121" s="27" t="s">
        <v>2957</v>
      </c>
      <c r="B121" s="28" t="s">
        <v>2926</v>
      </c>
      <c r="C121" s="27">
        <v>6</v>
      </c>
      <c r="D121" s="29"/>
    </row>
    <row r="122" spans="1:4">
      <c r="B122" s="30" t="s">
        <v>405</v>
      </c>
      <c r="C122" s="1">
        <v>5</v>
      </c>
      <c r="D122" s="1" t="s">
        <v>56</v>
      </c>
    </row>
    <row r="123" spans="1:4">
      <c r="B123" s="30" t="s">
        <v>2762</v>
      </c>
      <c r="C123" s="1">
        <v>1</v>
      </c>
      <c r="D123" s="1" t="s">
        <v>56</v>
      </c>
    </row>
    <row r="124" spans="1:4">
      <c r="A124" s="27" t="s">
        <v>2958</v>
      </c>
      <c r="B124" s="28" t="s">
        <v>2926</v>
      </c>
      <c r="C124" s="27">
        <v>6</v>
      </c>
      <c r="D124" s="29"/>
    </row>
    <row r="125" spans="1:4">
      <c r="B125" s="30" t="s">
        <v>407</v>
      </c>
      <c r="C125" s="1">
        <v>5</v>
      </c>
      <c r="D125" s="1" t="s">
        <v>56</v>
      </c>
    </row>
    <row r="126" spans="1:4">
      <c r="B126" s="30" t="s">
        <v>2804</v>
      </c>
      <c r="C126" s="1">
        <v>1</v>
      </c>
      <c r="D126" s="1" t="s">
        <v>56</v>
      </c>
    </row>
    <row r="127" spans="1:4">
      <c r="A127" s="27" t="s">
        <v>2959</v>
      </c>
      <c r="B127" s="28" t="s">
        <v>2926</v>
      </c>
      <c r="C127" s="27">
        <v>6</v>
      </c>
      <c r="D127" s="29"/>
    </row>
    <row r="128" spans="1:4">
      <c r="B128" s="30" t="s">
        <v>570</v>
      </c>
      <c r="C128" s="1">
        <v>3</v>
      </c>
      <c r="D128" s="1" t="s">
        <v>44</v>
      </c>
    </row>
    <row r="129" spans="1:4">
      <c r="B129" s="30" t="s">
        <v>571</v>
      </c>
      <c r="C129" s="1">
        <v>3</v>
      </c>
      <c r="D129" s="1" t="s">
        <v>44</v>
      </c>
    </row>
    <row r="130" spans="1:4">
      <c r="A130" s="27" t="s">
        <v>2960</v>
      </c>
      <c r="B130" s="28" t="s">
        <v>2926</v>
      </c>
      <c r="C130" s="27">
        <v>5</v>
      </c>
      <c r="D130" s="29"/>
    </row>
    <row r="131" spans="1:4">
      <c r="B131" s="30" t="s">
        <v>414</v>
      </c>
      <c r="C131" s="1">
        <v>4</v>
      </c>
      <c r="D131" s="1" t="s">
        <v>56</v>
      </c>
    </row>
    <row r="132" spans="1:4">
      <c r="B132" s="30" t="s">
        <v>1080</v>
      </c>
      <c r="C132" s="1">
        <v>1</v>
      </c>
      <c r="D132" s="1" t="s">
        <v>56</v>
      </c>
    </row>
    <row r="133" spans="1:4">
      <c r="A133" s="27" t="s">
        <v>2961</v>
      </c>
      <c r="B133" s="28" t="s">
        <v>2926</v>
      </c>
      <c r="C133" s="27">
        <v>5</v>
      </c>
      <c r="D133" s="29"/>
    </row>
    <row r="134" spans="1:4">
      <c r="B134" s="30" t="s">
        <v>435</v>
      </c>
      <c r="C134" s="1">
        <v>4</v>
      </c>
      <c r="D134" s="1" t="s">
        <v>56</v>
      </c>
    </row>
    <row r="135" spans="1:4">
      <c r="B135" s="30" t="s">
        <v>1546</v>
      </c>
      <c r="C135" s="1">
        <v>1</v>
      </c>
      <c r="D135" s="1" t="s">
        <v>56</v>
      </c>
    </row>
    <row r="136" spans="1:4">
      <c r="A136" s="27" t="s">
        <v>2962</v>
      </c>
      <c r="B136" s="28" t="s">
        <v>2926</v>
      </c>
      <c r="C136" s="27">
        <v>5</v>
      </c>
      <c r="D136" s="29"/>
    </row>
    <row r="137" spans="1:4">
      <c r="B137" s="30" t="s">
        <v>437</v>
      </c>
      <c r="C137" s="1">
        <v>4</v>
      </c>
      <c r="D137" s="1" t="s">
        <v>56</v>
      </c>
    </row>
    <row r="138" spans="1:4">
      <c r="B138" s="30" t="s">
        <v>1557</v>
      </c>
      <c r="C138" s="1">
        <v>1</v>
      </c>
      <c r="D138" s="1" t="s">
        <v>56</v>
      </c>
    </row>
    <row r="139" spans="1:4">
      <c r="A139" s="27" t="s">
        <v>2963</v>
      </c>
      <c r="B139" s="28" t="s">
        <v>2926</v>
      </c>
      <c r="C139" s="27">
        <v>5</v>
      </c>
      <c r="D139" s="29"/>
    </row>
    <row r="140" spans="1:4">
      <c r="B140" s="30" t="s">
        <v>450</v>
      </c>
      <c r="C140" s="1">
        <v>4</v>
      </c>
      <c r="D140" s="1" t="s">
        <v>56</v>
      </c>
    </row>
    <row r="141" spans="1:4">
      <c r="B141" s="30" t="s">
        <v>1787</v>
      </c>
      <c r="C141" s="1">
        <v>1</v>
      </c>
      <c r="D141" s="1" t="s">
        <v>56</v>
      </c>
    </row>
    <row r="142" spans="1:4">
      <c r="A142" s="27" t="s">
        <v>2274</v>
      </c>
      <c r="B142" s="28" t="s">
        <v>2926</v>
      </c>
      <c r="C142" s="27">
        <v>5</v>
      </c>
      <c r="D142" s="29"/>
    </row>
    <row r="143" spans="1:4">
      <c r="B143" s="30" t="s">
        <v>484</v>
      </c>
      <c r="C143" s="1">
        <v>4</v>
      </c>
      <c r="D143" s="1" t="s">
        <v>56</v>
      </c>
    </row>
    <row r="144" spans="1:4">
      <c r="B144" s="30" t="s">
        <v>2274</v>
      </c>
      <c r="C144" s="1">
        <v>1</v>
      </c>
      <c r="D144" s="1" t="s">
        <v>163</v>
      </c>
    </row>
    <row r="145" spans="1:4">
      <c r="A145" s="27" t="s">
        <v>2964</v>
      </c>
      <c r="B145" s="28" t="s">
        <v>2926</v>
      </c>
      <c r="C145" s="27">
        <v>5</v>
      </c>
      <c r="D145" s="29"/>
    </row>
    <row r="146" spans="1:4">
      <c r="B146" s="30" t="s">
        <v>613</v>
      </c>
      <c r="C146" s="1">
        <v>3</v>
      </c>
      <c r="D146" s="1" t="s">
        <v>56</v>
      </c>
    </row>
    <row r="147" spans="1:4">
      <c r="B147" s="30" t="s">
        <v>920</v>
      </c>
      <c r="C147" s="1">
        <v>2</v>
      </c>
      <c r="D147" s="1" t="s">
        <v>56</v>
      </c>
    </row>
    <row r="148" spans="1:4">
      <c r="A148" s="27" t="s">
        <v>2965</v>
      </c>
      <c r="B148" s="28" t="s">
        <v>2926</v>
      </c>
      <c r="C148" s="27">
        <v>4</v>
      </c>
      <c r="D148" s="29"/>
    </row>
    <row r="149" spans="1:4">
      <c r="B149" s="30" t="s">
        <v>544</v>
      </c>
      <c r="C149" s="1">
        <v>3</v>
      </c>
      <c r="D149" s="1" t="s">
        <v>56</v>
      </c>
    </row>
    <row r="150" spans="1:4">
      <c r="B150" s="30" t="s">
        <v>1454</v>
      </c>
      <c r="C150" s="1">
        <v>1</v>
      </c>
      <c r="D150" s="1" t="s">
        <v>56</v>
      </c>
    </row>
    <row r="151" spans="1:4">
      <c r="A151" s="27" t="s">
        <v>572</v>
      </c>
      <c r="B151" s="28" t="s">
        <v>2926</v>
      </c>
      <c r="C151" s="27">
        <v>4</v>
      </c>
      <c r="D151" s="29"/>
    </row>
    <row r="152" spans="1:4">
      <c r="B152" s="30" t="s">
        <v>572</v>
      </c>
      <c r="C152" s="1">
        <v>3</v>
      </c>
      <c r="D152" s="1" t="s">
        <v>44</v>
      </c>
    </row>
    <row r="153" spans="1:4">
      <c r="B153" s="30" t="s">
        <v>1760</v>
      </c>
      <c r="C153" s="1">
        <v>1</v>
      </c>
      <c r="D153" s="1" t="s">
        <v>44</v>
      </c>
    </row>
    <row r="154" spans="1:4">
      <c r="A154" s="27" t="s">
        <v>2966</v>
      </c>
      <c r="B154" s="28" t="s">
        <v>2926</v>
      </c>
      <c r="C154" s="27">
        <v>4</v>
      </c>
      <c r="D154" s="29"/>
    </row>
    <row r="155" spans="1:4">
      <c r="B155" s="30" t="s">
        <v>681</v>
      </c>
      <c r="C155" s="1">
        <v>2</v>
      </c>
      <c r="D155" s="1" t="s">
        <v>56</v>
      </c>
    </row>
    <row r="156" spans="1:4">
      <c r="B156" s="30" t="s">
        <v>682</v>
      </c>
      <c r="C156" s="1">
        <v>2</v>
      </c>
      <c r="D156" s="1" t="s">
        <v>56</v>
      </c>
    </row>
    <row r="157" spans="1:4">
      <c r="A157" s="27" t="s">
        <v>2967</v>
      </c>
      <c r="B157" s="28" t="s">
        <v>2926</v>
      </c>
      <c r="C157" s="27">
        <v>4</v>
      </c>
      <c r="D157" s="29"/>
    </row>
    <row r="158" spans="1:4">
      <c r="B158" s="30" t="s">
        <v>734</v>
      </c>
      <c r="C158" s="1">
        <v>2</v>
      </c>
      <c r="D158" s="1" t="s">
        <v>56</v>
      </c>
    </row>
    <row r="159" spans="1:4">
      <c r="B159" s="30" t="s">
        <v>735</v>
      </c>
      <c r="C159" s="1">
        <v>2</v>
      </c>
      <c r="D159" s="1" t="s">
        <v>56</v>
      </c>
    </row>
    <row r="160" spans="1:4">
      <c r="A160" s="27" t="s">
        <v>2968</v>
      </c>
      <c r="B160" s="28" t="s">
        <v>2926</v>
      </c>
      <c r="C160" s="27">
        <v>4</v>
      </c>
      <c r="D160" s="29"/>
    </row>
    <row r="161" spans="1:4">
      <c r="B161" s="30" t="s">
        <v>803</v>
      </c>
      <c r="C161" s="1">
        <v>2</v>
      </c>
      <c r="D161" s="1" t="s">
        <v>56</v>
      </c>
    </row>
    <row r="162" spans="1:4">
      <c r="B162" s="30" t="s">
        <v>804</v>
      </c>
      <c r="C162" s="1">
        <v>2</v>
      </c>
      <c r="D162" s="1" t="s">
        <v>56</v>
      </c>
    </row>
    <row r="163" spans="1:4">
      <c r="A163" s="27" t="s">
        <v>2969</v>
      </c>
      <c r="B163" s="28" t="s">
        <v>2926</v>
      </c>
      <c r="C163" s="27">
        <v>3</v>
      </c>
      <c r="D163" s="29"/>
    </row>
    <row r="164" spans="1:4">
      <c r="B164" s="30" t="s">
        <v>678</v>
      </c>
      <c r="C164" s="1">
        <v>2</v>
      </c>
      <c r="D164" s="1" t="s">
        <v>56</v>
      </c>
    </row>
    <row r="165" spans="1:4">
      <c r="B165" s="30" t="s">
        <v>1088</v>
      </c>
      <c r="C165" s="1">
        <v>1</v>
      </c>
      <c r="D165" s="1" t="s">
        <v>56</v>
      </c>
    </row>
    <row r="166" spans="1:4">
      <c r="A166" s="27" t="s">
        <v>2970</v>
      </c>
      <c r="B166" s="28" t="s">
        <v>2926</v>
      </c>
      <c r="C166" s="27">
        <v>3</v>
      </c>
      <c r="D166" s="29"/>
    </row>
    <row r="167" spans="1:4">
      <c r="B167" s="30" t="s">
        <v>679</v>
      </c>
      <c r="C167" s="1">
        <v>2</v>
      </c>
      <c r="D167" s="1" t="s">
        <v>56</v>
      </c>
    </row>
    <row r="168" spans="1:4">
      <c r="B168" s="30" t="s">
        <v>1086</v>
      </c>
      <c r="C168" s="1">
        <v>1</v>
      </c>
      <c r="D168" s="1" t="s">
        <v>56</v>
      </c>
    </row>
    <row r="169" spans="1:4">
      <c r="A169" s="27" t="s">
        <v>2971</v>
      </c>
      <c r="B169" s="28" t="s">
        <v>2926</v>
      </c>
      <c r="C169" s="27">
        <v>3</v>
      </c>
      <c r="D169" s="29"/>
    </row>
    <row r="170" spans="1:4">
      <c r="B170" s="30" t="s">
        <v>736</v>
      </c>
      <c r="C170" s="1">
        <v>2</v>
      </c>
      <c r="D170" s="1" t="s">
        <v>56</v>
      </c>
    </row>
    <row r="171" spans="1:4">
      <c r="B171" s="30" t="s">
        <v>1405</v>
      </c>
      <c r="C171" s="1">
        <v>1</v>
      </c>
      <c r="D171" s="1" t="s">
        <v>56</v>
      </c>
    </row>
    <row r="172" spans="1:4">
      <c r="A172" s="27" t="s">
        <v>2972</v>
      </c>
      <c r="B172" s="28" t="s">
        <v>2926</v>
      </c>
      <c r="C172" s="27">
        <v>3</v>
      </c>
      <c r="D172" s="29"/>
    </row>
    <row r="173" spans="1:4">
      <c r="B173" s="30" t="s">
        <v>748</v>
      </c>
      <c r="C173" s="1">
        <v>2</v>
      </c>
      <c r="D173" s="1" t="s">
        <v>56</v>
      </c>
    </row>
    <row r="174" spans="1:4">
      <c r="B174" s="30" t="s">
        <v>1484</v>
      </c>
      <c r="C174" s="1">
        <v>1</v>
      </c>
      <c r="D174" s="1" t="s">
        <v>56</v>
      </c>
    </row>
    <row r="175" spans="1:4">
      <c r="A175" s="27" t="s">
        <v>2973</v>
      </c>
      <c r="B175" s="28" t="s">
        <v>2926</v>
      </c>
      <c r="C175" s="27">
        <v>3</v>
      </c>
      <c r="D175" s="29"/>
    </row>
    <row r="176" spans="1:4">
      <c r="B176" s="30" t="s">
        <v>754</v>
      </c>
      <c r="C176" s="1">
        <v>2</v>
      </c>
      <c r="D176" s="1" t="s">
        <v>56</v>
      </c>
    </row>
    <row r="177" spans="1:4">
      <c r="B177" s="30" t="s">
        <v>1516</v>
      </c>
      <c r="C177" s="1">
        <v>1</v>
      </c>
      <c r="D177" s="1" t="s">
        <v>56</v>
      </c>
    </row>
    <row r="178" spans="1:4">
      <c r="A178" s="27" t="s">
        <v>2974</v>
      </c>
      <c r="B178" s="28" t="s">
        <v>2926</v>
      </c>
      <c r="C178" s="27">
        <v>3</v>
      </c>
      <c r="D178" s="29"/>
    </row>
    <row r="179" spans="1:4">
      <c r="B179" s="30" t="s">
        <v>763</v>
      </c>
      <c r="C179" s="1">
        <v>2</v>
      </c>
      <c r="D179" s="1" t="s">
        <v>56</v>
      </c>
    </row>
    <row r="180" spans="1:4">
      <c r="B180" s="30" t="s">
        <v>1589</v>
      </c>
      <c r="C180" s="1">
        <v>1</v>
      </c>
      <c r="D180" s="1" t="s">
        <v>56</v>
      </c>
    </row>
    <row r="181" spans="1:4">
      <c r="A181" s="27" t="s">
        <v>2975</v>
      </c>
      <c r="B181" s="28" t="s">
        <v>2926</v>
      </c>
      <c r="C181" s="27">
        <v>3</v>
      </c>
      <c r="D181" s="29"/>
    </row>
    <row r="182" spans="1:4">
      <c r="B182" s="30" t="s">
        <v>779</v>
      </c>
      <c r="C182" s="1">
        <v>2</v>
      </c>
      <c r="D182" s="1" t="s">
        <v>56</v>
      </c>
    </row>
    <row r="183" spans="1:4">
      <c r="B183" s="30" t="s">
        <v>1700</v>
      </c>
      <c r="C183" s="1">
        <v>1</v>
      </c>
      <c r="D183" s="1" t="s">
        <v>56</v>
      </c>
    </row>
    <row r="184" spans="1:4">
      <c r="A184" s="27" t="s">
        <v>2976</v>
      </c>
      <c r="B184" s="28" t="s">
        <v>2926</v>
      </c>
      <c r="C184" s="27">
        <v>3</v>
      </c>
      <c r="D184" s="29"/>
    </row>
    <row r="185" spans="1:4">
      <c r="B185" s="30" t="s">
        <v>895</v>
      </c>
      <c r="C185" s="1">
        <v>2</v>
      </c>
      <c r="D185" s="1" t="s">
        <v>56</v>
      </c>
    </row>
    <row r="186" spans="1:4">
      <c r="B186" s="30" t="s">
        <v>2310</v>
      </c>
      <c r="C186" s="1">
        <v>1</v>
      </c>
      <c r="D186" s="1" t="s">
        <v>56</v>
      </c>
    </row>
    <row r="187" spans="1:4">
      <c r="A187" s="27" t="s">
        <v>2977</v>
      </c>
      <c r="B187" s="28" t="s">
        <v>2926</v>
      </c>
      <c r="C187" s="27">
        <v>3</v>
      </c>
      <c r="D187" s="29"/>
    </row>
    <row r="188" spans="1:4">
      <c r="B188" s="30" t="s">
        <v>916</v>
      </c>
      <c r="C188" s="1">
        <v>2</v>
      </c>
      <c r="D188" s="1" t="s">
        <v>56</v>
      </c>
    </row>
    <row r="189" spans="1:4">
      <c r="B189" s="30" t="s">
        <v>2360</v>
      </c>
      <c r="C189" s="1">
        <v>1</v>
      </c>
      <c r="D189" s="1" t="s">
        <v>56</v>
      </c>
    </row>
    <row r="190" spans="1:4">
      <c r="A190" s="27" t="s">
        <v>2978</v>
      </c>
      <c r="B190" s="28" t="s">
        <v>2926</v>
      </c>
      <c r="C190" s="27">
        <v>3</v>
      </c>
      <c r="D190" s="29"/>
    </row>
    <row r="191" spans="1:4">
      <c r="B191" s="30" t="s">
        <v>932</v>
      </c>
      <c r="C191" s="1">
        <v>2</v>
      </c>
      <c r="D191" s="1" t="s">
        <v>56</v>
      </c>
    </row>
    <row r="192" spans="1:4">
      <c r="B192" s="30" t="s">
        <v>2421</v>
      </c>
      <c r="C192" s="1">
        <v>1</v>
      </c>
      <c r="D192" s="1" t="s">
        <v>56</v>
      </c>
    </row>
    <row r="193" spans="1:4">
      <c r="A193" s="27" t="s">
        <v>2979</v>
      </c>
      <c r="B193" s="28" t="s">
        <v>2926</v>
      </c>
      <c r="C193" s="27">
        <v>3</v>
      </c>
      <c r="D193" s="29"/>
    </row>
    <row r="194" spans="1:4">
      <c r="B194" s="30" t="s">
        <v>962</v>
      </c>
      <c r="C194" s="1">
        <v>2</v>
      </c>
      <c r="D194" s="1" t="s">
        <v>56</v>
      </c>
    </row>
    <row r="195" spans="1:4">
      <c r="B195" s="30" t="s">
        <v>2576</v>
      </c>
      <c r="C195" s="1">
        <v>1</v>
      </c>
      <c r="D195" s="1" t="s">
        <v>56</v>
      </c>
    </row>
    <row r="196" spans="1:4">
      <c r="A196" s="27" t="s">
        <v>2980</v>
      </c>
      <c r="B196" s="28" t="s">
        <v>2926</v>
      </c>
      <c r="C196" s="27">
        <v>3</v>
      </c>
      <c r="D196" s="29"/>
    </row>
    <row r="197" spans="1:4">
      <c r="B197" s="30" t="s">
        <v>973</v>
      </c>
      <c r="C197" s="1">
        <v>2</v>
      </c>
      <c r="D197" s="1" t="s">
        <v>56</v>
      </c>
    </row>
    <row r="198" spans="1:4">
      <c r="B198" s="30" t="s">
        <v>2674</v>
      </c>
      <c r="C198" s="1">
        <v>1</v>
      </c>
      <c r="D198" s="1" t="s">
        <v>56</v>
      </c>
    </row>
    <row r="199" spans="1:4">
      <c r="A199" s="27" t="s">
        <v>117</v>
      </c>
      <c r="B199" s="28" t="s">
        <v>2926</v>
      </c>
      <c r="C199" s="27">
        <v>3</v>
      </c>
      <c r="D199" s="29"/>
    </row>
    <row r="200" spans="1:4">
      <c r="B200" s="30" t="s">
        <v>996</v>
      </c>
      <c r="C200" s="1">
        <v>2</v>
      </c>
      <c r="D200" s="1" t="s">
        <v>56</v>
      </c>
    </row>
    <row r="201" spans="1:4">
      <c r="B201" s="30" t="s">
        <v>117</v>
      </c>
      <c r="C201" s="1">
        <v>1</v>
      </c>
      <c r="D201" s="1" t="s">
        <v>56</v>
      </c>
    </row>
    <row r="202" spans="1:4">
      <c r="A202" s="27" t="s">
        <v>2981</v>
      </c>
      <c r="B202" s="28" t="s">
        <v>2926</v>
      </c>
      <c r="C202" s="27">
        <v>3</v>
      </c>
      <c r="D202" s="29"/>
    </row>
    <row r="203" spans="1:4">
      <c r="B203" s="30" t="s">
        <v>1002</v>
      </c>
      <c r="C203" s="1">
        <v>2</v>
      </c>
      <c r="D203" s="1" t="s">
        <v>56</v>
      </c>
    </row>
    <row r="204" spans="1:4">
      <c r="B204" s="30" t="s">
        <v>2821</v>
      </c>
      <c r="C204" s="1">
        <v>1</v>
      </c>
      <c r="D204" s="1" t="s">
        <v>56</v>
      </c>
    </row>
    <row r="205" spans="1:4">
      <c r="A205" s="27" t="s">
        <v>2982</v>
      </c>
      <c r="B205" s="28" t="s">
        <v>2924</v>
      </c>
      <c r="C205" s="27">
        <v>3</v>
      </c>
      <c r="D205" s="29"/>
    </row>
    <row r="206" spans="1:4">
      <c r="B206" s="30" t="s">
        <v>2174</v>
      </c>
      <c r="C206" s="1">
        <v>1</v>
      </c>
      <c r="D206" s="1" t="s">
        <v>56</v>
      </c>
    </row>
    <row r="207" spans="1:4">
      <c r="B207" s="30" t="s">
        <v>2175</v>
      </c>
      <c r="C207" s="1">
        <v>1</v>
      </c>
      <c r="D207" s="1" t="s">
        <v>56</v>
      </c>
    </row>
    <row r="208" spans="1:4">
      <c r="B208" s="30" t="s">
        <v>2176</v>
      </c>
      <c r="C208" s="1">
        <v>1</v>
      </c>
      <c r="D208" s="1" t="s">
        <v>56</v>
      </c>
    </row>
    <row r="209" spans="1:4">
      <c r="A209" s="27" t="s">
        <v>2983</v>
      </c>
      <c r="B209" s="28" t="s">
        <v>2924</v>
      </c>
      <c r="C209" s="27">
        <v>3</v>
      </c>
      <c r="D209" s="29"/>
    </row>
    <row r="210" spans="1:4">
      <c r="B210" s="30" t="s">
        <v>2682</v>
      </c>
      <c r="C210" s="1">
        <v>1</v>
      </c>
      <c r="D210" s="1" t="s">
        <v>56</v>
      </c>
    </row>
    <row r="211" spans="1:4">
      <c r="B211" s="30" t="s">
        <v>110</v>
      </c>
      <c r="C211" s="1">
        <v>1</v>
      </c>
      <c r="D211" s="1" t="s">
        <v>56</v>
      </c>
    </row>
    <row r="212" spans="1:4">
      <c r="B212" s="30" t="s">
        <v>2683</v>
      </c>
      <c r="C212" s="1">
        <v>1</v>
      </c>
      <c r="D212" s="1" t="s">
        <v>56</v>
      </c>
    </row>
    <row r="213" spans="1:4">
      <c r="A213" s="27" t="s">
        <v>2984</v>
      </c>
      <c r="B213" s="28" t="s">
        <v>2926</v>
      </c>
      <c r="C213" s="27">
        <v>2</v>
      </c>
      <c r="D213" s="29"/>
    </row>
    <row r="214" spans="1:4">
      <c r="B214" s="30" t="s">
        <v>1015</v>
      </c>
      <c r="C214" s="1">
        <v>1</v>
      </c>
      <c r="D214" s="1" t="s">
        <v>56</v>
      </c>
    </row>
    <row r="215" spans="1:4">
      <c r="B215" s="30" t="s">
        <v>1016</v>
      </c>
      <c r="C215" s="1">
        <v>1</v>
      </c>
      <c r="D215" s="1" t="s">
        <v>56</v>
      </c>
    </row>
    <row r="216" spans="1:4">
      <c r="A216" s="27" t="s">
        <v>2985</v>
      </c>
      <c r="B216" s="28" t="s">
        <v>2926</v>
      </c>
      <c r="C216" s="27">
        <v>2</v>
      </c>
      <c r="D216" s="29"/>
    </row>
    <row r="217" spans="1:4">
      <c r="B217" s="30" t="s">
        <v>1052</v>
      </c>
      <c r="C217" s="1">
        <v>1</v>
      </c>
      <c r="D217" s="1" t="s">
        <v>56</v>
      </c>
    </row>
    <row r="218" spans="1:4">
      <c r="B218" s="30" t="s">
        <v>1053</v>
      </c>
      <c r="C218" s="1">
        <v>1</v>
      </c>
      <c r="D218" s="1" t="s">
        <v>56</v>
      </c>
    </row>
    <row r="219" spans="1:4">
      <c r="A219" s="27" t="s">
        <v>2986</v>
      </c>
      <c r="B219" s="28" t="s">
        <v>2926</v>
      </c>
      <c r="C219" s="27">
        <v>2</v>
      </c>
      <c r="D219" s="29"/>
    </row>
    <row r="220" spans="1:4">
      <c r="B220" s="30" t="s">
        <v>1156</v>
      </c>
      <c r="C220" s="1">
        <v>1</v>
      </c>
      <c r="D220" s="1" t="s">
        <v>56</v>
      </c>
    </row>
    <row r="221" spans="1:4">
      <c r="B221" s="30" t="s">
        <v>1157</v>
      </c>
      <c r="C221" s="1">
        <v>1</v>
      </c>
      <c r="D221" s="1" t="s">
        <v>56</v>
      </c>
    </row>
    <row r="222" spans="1:4">
      <c r="A222" s="27" t="s">
        <v>2987</v>
      </c>
      <c r="B222" s="28" t="s">
        <v>2926</v>
      </c>
      <c r="C222" s="27">
        <v>2</v>
      </c>
      <c r="D222" s="29"/>
    </row>
    <row r="223" spans="1:4">
      <c r="B223" s="30" t="s">
        <v>1162</v>
      </c>
      <c r="C223" s="1">
        <v>1</v>
      </c>
      <c r="D223" s="1" t="s">
        <v>56</v>
      </c>
    </row>
    <row r="224" spans="1:4">
      <c r="B224" s="30" t="s">
        <v>1163</v>
      </c>
      <c r="C224" s="1">
        <v>1</v>
      </c>
      <c r="D224" s="1" t="s">
        <v>56</v>
      </c>
    </row>
    <row r="225" spans="1:4">
      <c r="A225" s="27" t="s">
        <v>2988</v>
      </c>
      <c r="B225" s="28" t="s">
        <v>2926</v>
      </c>
      <c r="C225" s="27">
        <v>2</v>
      </c>
      <c r="D225" s="29"/>
    </row>
    <row r="226" spans="1:4">
      <c r="B226" s="30" t="s">
        <v>1255</v>
      </c>
      <c r="C226" s="1">
        <v>1</v>
      </c>
      <c r="D226" s="1" t="s">
        <v>56</v>
      </c>
    </row>
    <row r="227" spans="1:4">
      <c r="B227" s="30" t="s">
        <v>1256</v>
      </c>
      <c r="C227" s="1">
        <v>1</v>
      </c>
      <c r="D227" s="1" t="s">
        <v>56</v>
      </c>
    </row>
    <row r="228" spans="1:4">
      <c r="A228" s="27" t="s">
        <v>2989</v>
      </c>
      <c r="B228" s="28" t="s">
        <v>2926</v>
      </c>
      <c r="C228" s="27">
        <v>2</v>
      </c>
      <c r="D228" s="29"/>
    </row>
    <row r="229" spans="1:4">
      <c r="B229" s="30" t="s">
        <v>1261</v>
      </c>
      <c r="C229" s="1">
        <v>1</v>
      </c>
      <c r="D229" s="1" t="s">
        <v>56</v>
      </c>
    </row>
    <row r="230" spans="1:4">
      <c r="B230" s="30" t="s">
        <v>1262</v>
      </c>
      <c r="C230" s="1">
        <v>1</v>
      </c>
      <c r="D230" s="1" t="s">
        <v>56</v>
      </c>
    </row>
    <row r="231" spans="1:4">
      <c r="A231" s="27" t="s">
        <v>2990</v>
      </c>
      <c r="B231" s="28" t="s">
        <v>2926</v>
      </c>
      <c r="C231" s="27">
        <v>2</v>
      </c>
      <c r="D231" s="29"/>
    </row>
    <row r="232" spans="1:4">
      <c r="B232" s="30" t="s">
        <v>1339</v>
      </c>
      <c r="C232" s="1">
        <v>1</v>
      </c>
      <c r="D232" s="1" t="s">
        <v>56</v>
      </c>
    </row>
    <row r="233" spans="1:4">
      <c r="B233" s="30" t="s">
        <v>1340</v>
      </c>
      <c r="C233" s="1">
        <v>1</v>
      </c>
      <c r="D233" s="1" t="s">
        <v>56</v>
      </c>
    </row>
    <row r="234" spans="1:4">
      <c r="A234" s="27" t="s">
        <v>2991</v>
      </c>
      <c r="B234" s="28" t="s">
        <v>2926</v>
      </c>
      <c r="C234" s="27">
        <v>2</v>
      </c>
      <c r="D234" s="29"/>
    </row>
    <row r="235" spans="1:4">
      <c r="B235" s="30" t="s">
        <v>1345</v>
      </c>
      <c r="C235" s="1">
        <v>1</v>
      </c>
      <c r="D235" s="1" t="s">
        <v>56</v>
      </c>
    </row>
    <row r="236" spans="1:4">
      <c r="B236" s="30" t="s">
        <v>1346</v>
      </c>
      <c r="C236" s="1">
        <v>1</v>
      </c>
      <c r="D236" s="1" t="s">
        <v>56</v>
      </c>
    </row>
    <row r="237" spans="1:4">
      <c r="A237" s="27" t="s">
        <v>2992</v>
      </c>
      <c r="B237" s="28" t="s">
        <v>2926</v>
      </c>
      <c r="C237" s="27">
        <v>2</v>
      </c>
      <c r="D237" s="29"/>
    </row>
    <row r="238" spans="1:4">
      <c r="B238" s="30" t="s">
        <v>1399</v>
      </c>
      <c r="C238" s="1">
        <v>1</v>
      </c>
      <c r="D238" s="1" t="s">
        <v>56</v>
      </c>
    </row>
    <row r="239" spans="1:4">
      <c r="B239" s="30" t="s">
        <v>1400</v>
      </c>
      <c r="C239" s="1">
        <v>1</v>
      </c>
      <c r="D239" s="1" t="s">
        <v>56</v>
      </c>
    </row>
    <row r="240" spans="1:4">
      <c r="A240" s="27" t="s">
        <v>2993</v>
      </c>
      <c r="B240" s="28" t="s">
        <v>2926</v>
      </c>
      <c r="C240" s="27">
        <v>2</v>
      </c>
      <c r="D240" s="29"/>
    </row>
    <row r="241" spans="1:4">
      <c r="B241" s="30" t="s">
        <v>1417</v>
      </c>
      <c r="C241" s="1">
        <v>1</v>
      </c>
      <c r="D241" s="1" t="s">
        <v>56</v>
      </c>
    </row>
    <row r="242" spans="1:4">
      <c r="B242" s="30" t="s">
        <v>1418</v>
      </c>
      <c r="C242" s="1">
        <v>1</v>
      </c>
      <c r="D242" s="1" t="s">
        <v>56</v>
      </c>
    </row>
    <row r="243" spans="1:4">
      <c r="A243" s="27" t="s">
        <v>2994</v>
      </c>
      <c r="B243" s="28" t="s">
        <v>2926</v>
      </c>
      <c r="C243" s="27">
        <v>2</v>
      </c>
      <c r="D243" s="29"/>
    </row>
    <row r="244" spans="1:4">
      <c r="B244" s="30" t="s">
        <v>1571</v>
      </c>
      <c r="C244" s="1">
        <v>1</v>
      </c>
      <c r="D244" s="1" t="s">
        <v>56</v>
      </c>
    </row>
    <row r="245" spans="1:4">
      <c r="B245" s="30" t="s">
        <v>1572</v>
      </c>
      <c r="C245" s="1">
        <v>1</v>
      </c>
      <c r="D245" s="1" t="s">
        <v>56</v>
      </c>
    </row>
    <row r="246" spans="1:4">
      <c r="A246" s="27" t="s">
        <v>2995</v>
      </c>
      <c r="B246" s="28" t="s">
        <v>2926</v>
      </c>
      <c r="C246" s="27">
        <v>2</v>
      </c>
      <c r="D246" s="29"/>
    </row>
    <row r="247" spans="1:4">
      <c r="B247" s="30" t="s">
        <v>1587</v>
      </c>
      <c r="C247" s="1">
        <v>1</v>
      </c>
      <c r="D247" s="1" t="s">
        <v>56</v>
      </c>
    </row>
    <row r="248" spans="1:4">
      <c r="B248" s="30" t="s">
        <v>1588</v>
      </c>
      <c r="C248" s="1">
        <v>1</v>
      </c>
      <c r="D248" s="1" t="s">
        <v>56</v>
      </c>
    </row>
    <row r="249" spans="1:4">
      <c r="A249" s="27" t="s">
        <v>2996</v>
      </c>
      <c r="B249" s="28" t="s">
        <v>2926</v>
      </c>
      <c r="C249" s="27">
        <v>2</v>
      </c>
      <c r="D249" s="29"/>
    </row>
    <row r="250" spans="1:4">
      <c r="B250" s="30" t="s">
        <v>1602</v>
      </c>
      <c r="C250" s="1">
        <v>1</v>
      </c>
      <c r="D250" s="1" t="s">
        <v>56</v>
      </c>
    </row>
    <row r="251" spans="1:4">
      <c r="B251" s="30" t="s">
        <v>2690</v>
      </c>
      <c r="C251" s="1">
        <v>1</v>
      </c>
      <c r="D251" s="1" t="s">
        <v>56</v>
      </c>
    </row>
    <row r="252" spans="1:4">
      <c r="A252" s="27" t="s">
        <v>2997</v>
      </c>
      <c r="B252" s="28" t="s">
        <v>2926</v>
      </c>
      <c r="C252" s="27">
        <v>2</v>
      </c>
      <c r="D252" s="29"/>
    </row>
    <row r="253" spans="1:4">
      <c r="B253" s="30" t="s">
        <v>1664</v>
      </c>
      <c r="C253" s="1">
        <v>1</v>
      </c>
      <c r="D253" s="1" t="s">
        <v>56</v>
      </c>
    </row>
    <row r="254" spans="1:4">
      <c r="B254" s="30" t="s">
        <v>1665</v>
      </c>
      <c r="C254" s="1">
        <v>1</v>
      </c>
      <c r="D254" s="1" t="s">
        <v>56</v>
      </c>
    </row>
    <row r="255" spans="1:4">
      <c r="A255" s="27" t="s">
        <v>2998</v>
      </c>
      <c r="B255" s="28" t="s">
        <v>2926</v>
      </c>
      <c r="C255" s="27">
        <v>2</v>
      </c>
      <c r="D255" s="29"/>
    </row>
    <row r="256" spans="1:4">
      <c r="B256" s="30" t="s">
        <v>1678</v>
      </c>
      <c r="C256" s="1">
        <v>1</v>
      </c>
      <c r="D256" s="1" t="s">
        <v>56</v>
      </c>
    </row>
    <row r="257" spans="1:4">
      <c r="B257" s="30" t="s">
        <v>1679</v>
      </c>
      <c r="C257" s="1">
        <v>1</v>
      </c>
      <c r="D257" s="1" t="s">
        <v>56</v>
      </c>
    </row>
    <row r="258" spans="1:4">
      <c r="A258" s="27" t="s">
        <v>2999</v>
      </c>
      <c r="B258" s="28" t="s">
        <v>2926</v>
      </c>
      <c r="C258" s="27">
        <v>2</v>
      </c>
      <c r="D258" s="29"/>
    </row>
    <row r="259" spans="1:4">
      <c r="B259" s="30" t="s">
        <v>1810</v>
      </c>
      <c r="C259" s="1">
        <v>1</v>
      </c>
      <c r="D259" s="1" t="s">
        <v>56</v>
      </c>
    </row>
    <row r="260" spans="1:4">
      <c r="B260" s="30" t="s">
        <v>1811</v>
      </c>
      <c r="C260" s="1">
        <v>1</v>
      </c>
      <c r="D260" s="1" t="s">
        <v>56</v>
      </c>
    </row>
    <row r="261" spans="1:4">
      <c r="A261" s="27" t="s">
        <v>3000</v>
      </c>
      <c r="B261" s="28" t="s">
        <v>2926</v>
      </c>
      <c r="C261" s="27">
        <v>2</v>
      </c>
      <c r="D261" s="29"/>
    </row>
    <row r="262" spans="1:4">
      <c r="B262" s="30" t="s">
        <v>1883</v>
      </c>
      <c r="C262" s="1">
        <v>1</v>
      </c>
      <c r="D262" s="1" t="s">
        <v>56</v>
      </c>
    </row>
    <row r="263" spans="1:4">
      <c r="B263" s="30" t="s">
        <v>1884</v>
      </c>
      <c r="C263" s="1">
        <v>1</v>
      </c>
      <c r="D263" s="1" t="s">
        <v>56</v>
      </c>
    </row>
    <row r="264" spans="1:4">
      <c r="A264" s="27" t="s">
        <v>2039</v>
      </c>
      <c r="B264" s="28" t="s">
        <v>2926</v>
      </c>
      <c r="C264" s="27">
        <v>2</v>
      </c>
      <c r="D264" s="29"/>
    </row>
    <row r="265" spans="1:4">
      <c r="B265" s="30" t="s">
        <v>2039</v>
      </c>
      <c r="C265" s="1">
        <v>1</v>
      </c>
      <c r="D265" s="1" t="s">
        <v>163</v>
      </c>
    </row>
    <row r="266" spans="1:4">
      <c r="B266" s="30" t="s">
        <v>2040</v>
      </c>
      <c r="C266" s="1">
        <v>1</v>
      </c>
      <c r="D266" s="1" t="s">
        <v>56</v>
      </c>
    </row>
    <row r="267" spans="1:4">
      <c r="A267" s="27" t="s">
        <v>3001</v>
      </c>
      <c r="B267" s="28" t="s">
        <v>2926</v>
      </c>
      <c r="C267" s="27">
        <v>2</v>
      </c>
      <c r="D267" s="29"/>
    </row>
    <row r="268" spans="1:4">
      <c r="B268" s="30" t="s">
        <v>2043</v>
      </c>
      <c r="C268" s="1">
        <v>1</v>
      </c>
      <c r="D268" s="1" t="s">
        <v>56</v>
      </c>
    </row>
    <row r="269" spans="1:4">
      <c r="B269" s="30" t="s">
        <v>2044</v>
      </c>
      <c r="C269" s="1">
        <v>1</v>
      </c>
      <c r="D269" s="1" t="s">
        <v>56</v>
      </c>
    </row>
    <row r="270" spans="1:4">
      <c r="A270" s="27" t="s">
        <v>2117</v>
      </c>
      <c r="B270" s="28" t="s">
        <v>2926</v>
      </c>
      <c r="C270" s="27">
        <v>2</v>
      </c>
      <c r="D270" s="29"/>
    </row>
    <row r="271" spans="1:4">
      <c r="B271" s="30" t="s">
        <v>97</v>
      </c>
      <c r="C271" s="1">
        <v>1</v>
      </c>
      <c r="D271" s="1"/>
    </row>
    <row r="272" spans="1:4">
      <c r="B272" s="30" t="s">
        <v>2117</v>
      </c>
      <c r="C272" s="1">
        <v>1</v>
      </c>
      <c r="D272" s="1" t="s">
        <v>163</v>
      </c>
    </row>
    <row r="273" spans="1:4">
      <c r="A273" s="27" t="s">
        <v>3002</v>
      </c>
      <c r="B273" s="28" t="s">
        <v>2926</v>
      </c>
      <c r="C273" s="27">
        <v>2</v>
      </c>
      <c r="D273" s="29"/>
    </row>
    <row r="274" spans="1:4">
      <c r="B274" s="30" t="s">
        <v>2358</v>
      </c>
      <c r="C274" s="1">
        <v>1</v>
      </c>
      <c r="D274" s="1" t="s">
        <v>56</v>
      </c>
    </row>
    <row r="275" spans="1:4">
      <c r="B275" s="30" t="s">
        <v>2359</v>
      </c>
      <c r="C275" s="1">
        <v>1</v>
      </c>
      <c r="D275" s="1" t="s">
        <v>56</v>
      </c>
    </row>
    <row r="276" spans="1:4">
      <c r="A276" s="27" t="s">
        <v>2382</v>
      </c>
      <c r="B276" s="28" t="s">
        <v>2926</v>
      </c>
      <c r="C276" s="27">
        <v>2</v>
      </c>
      <c r="D276" s="29"/>
    </row>
    <row r="277" spans="1:4">
      <c r="B277" s="30" t="s">
        <v>2382</v>
      </c>
      <c r="C277" s="1">
        <v>1</v>
      </c>
      <c r="D277" s="1" t="s">
        <v>163</v>
      </c>
    </row>
    <row r="278" spans="1:4">
      <c r="B278" s="30" t="s">
        <v>2383</v>
      </c>
      <c r="C278" s="1">
        <v>1</v>
      </c>
      <c r="D278" s="1" t="s">
        <v>56</v>
      </c>
    </row>
    <row r="279" spans="1:4">
      <c r="A279" s="27" t="s">
        <v>3003</v>
      </c>
      <c r="B279" s="28" t="s">
        <v>2926</v>
      </c>
      <c r="C279" s="27">
        <v>2</v>
      </c>
      <c r="D279" s="29"/>
    </row>
    <row r="280" spans="1:4">
      <c r="B280" s="30" t="s">
        <v>2384</v>
      </c>
      <c r="C280" s="1">
        <v>1</v>
      </c>
      <c r="D280" s="1" t="s">
        <v>56</v>
      </c>
    </row>
    <row r="281" spans="1:4">
      <c r="B281" s="30" t="s">
        <v>2385</v>
      </c>
      <c r="C281" s="1">
        <v>1</v>
      </c>
      <c r="D281" s="1" t="s">
        <v>56</v>
      </c>
    </row>
    <row r="282" spans="1:4">
      <c r="A282" s="27" t="s">
        <v>3004</v>
      </c>
      <c r="B282" s="28" t="s">
        <v>2926</v>
      </c>
      <c r="C282" s="27">
        <v>2</v>
      </c>
      <c r="D282" s="29"/>
    </row>
    <row r="283" spans="1:4">
      <c r="B283" s="30" t="s">
        <v>2399</v>
      </c>
      <c r="C283" s="1">
        <v>1</v>
      </c>
      <c r="D283" s="1" t="s">
        <v>56</v>
      </c>
    </row>
    <row r="284" spans="1:4">
      <c r="B284" s="30" t="s">
        <v>2431</v>
      </c>
      <c r="C284" s="1">
        <v>1</v>
      </c>
      <c r="D284" s="1" t="s">
        <v>56</v>
      </c>
    </row>
    <row r="285" spans="1:4">
      <c r="A285" s="27" t="s">
        <v>102</v>
      </c>
      <c r="B285" s="28" t="s">
        <v>2926</v>
      </c>
      <c r="C285" s="27">
        <v>2</v>
      </c>
      <c r="D285" s="29"/>
    </row>
    <row r="286" spans="1:4">
      <c r="B286" s="30" t="s">
        <v>102</v>
      </c>
      <c r="C286" s="1">
        <v>1</v>
      </c>
      <c r="D286" s="1"/>
    </row>
    <row r="287" spans="1:4">
      <c r="B287" s="30" t="s">
        <v>103</v>
      </c>
      <c r="C287" s="1">
        <v>1</v>
      </c>
      <c r="D287" s="1"/>
    </row>
    <row r="288" spans="1:4">
      <c r="A288" s="27" t="s">
        <v>3005</v>
      </c>
      <c r="B288" s="28" t="s">
        <v>2926</v>
      </c>
      <c r="C288" s="27">
        <v>2</v>
      </c>
      <c r="D288" s="29"/>
    </row>
    <row r="289" spans="1:4">
      <c r="B289" s="30" t="s">
        <v>2501</v>
      </c>
      <c r="C289" s="1">
        <v>1</v>
      </c>
      <c r="D289" s="1" t="s">
        <v>56</v>
      </c>
    </row>
    <row r="290" spans="1:4">
      <c r="B290" s="30" t="s">
        <v>2502</v>
      </c>
      <c r="C290" s="1">
        <v>1</v>
      </c>
      <c r="D290" s="1" t="s">
        <v>56</v>
      </c>
    </row>
    <row r="291" spans="1:4">
      <c r="A291" s="27" t="s">
        <v>2617</v>
      </c>
      <c r="B291" s="28" t="s">
        <v>2926</v>
      </c>
      <c r="C291" s="27">
        <v>2</v>
      </c>
      <c r="D291" s="29"/>
    </row>
    <row r="292" spans="1:4">
      <c r="B292" s="30" t="s">
        <v>2617</v>
      </c>
      <c r="C292" s="1">
        <v>1</v>
      </c>
      <c r="D292" s="1" t="s">
        <v>44</v>
      </c>
    </row>
    <row r="293" spans="1:4">
      <c r="B293" s="30" t="s">
        <v>2618</v>
      </c>
      <c r="C293" s="1">
        <v>1</v>
      </c>
      <c r="D293" s="1" t="s">
        <v>44</v>
      </c>
    </row>
    <row r="294" spans="1:4">
      <c r="A294" s="27" t="s">
        <v>2668</v>
      </c>
      <c r="B294" s="28" t="s">
        <v>2926</v>
      </c>
      <c r="C294" s="27">
        <v>2</v>
      </c>
      <c r="D294" s="29"/>
    </row>
    <row r="295" spans="1:4">
      <c r="B295" s="30" t="s">
        <v>2668</v>
      </c>
      <c r="C295" s="1">
        <v>1</v>
      </c>
      <c r="D295" s="1" t="s">
        <v>163</v>
      </c>
    </row>
    <row r="296" spans="1:4">
      <c r="B296" s="30" t="s">
        <v>2669</v>
      </c>
      <c r="C296" s="1">
        <v>1</v>
      </c>
      <c r="D296" s="1" t="s">
        <v>163</v>
      </c>
    </row>
    <row r="297" spans="1:4">
      <c r="A297" s="27" t="s">
        <v>3006</v>
      </c>
      <c r="B297" s="28" t="s">
        <v>2926</v>
      </c>
      <c r="C297" s="27">
        <v>2</v>
      </c>
      <c r="D297" s="29"/>
    </row>
    <row r="298" spans="1:4">
      <c r="B298" s="30" t="s">
        <v>2707</v>
      </c>
      <c r="C298" s="1">
        <v>1</v>
      </c>
      <c r="D298" s="1" t="s">
        <v>56</v>
      </c>
    </row>
    <row r="299" spans="1:4">
      <c r="B299" s="30" t="s">
        <v>2708</v>
      </c>
      <c r="C299" s="1">
        <v>1</v>
      </c>
      <c r="D299" s="1" t="s">
        <v>56</v>
      </c>
    </row>
    <row r="300" spans="1:4">
      <c r="A300" s="27" t="s">
        <v>3007</v>
      </c>
      <c r="B300" s="28" t="s">
        <v>2926</v>
      </c>
      <c r="C300" s="27">
        <v>2</v>
      </c>
      <c r="D300" s="29"/>
    </row>
    <row r="301" spans="1:4">
      <c r="B301" s="30" t="s">
        <v>2768</v>
      </c>
      <c r="C301" s="1">
        <v>1</v>
      </c>
      <c r="D301" s="1" t="s">
        <v>56</v>
      </c>
    </row>
    <row r="302" spans="1:4">
      <c r="B302" s="30" t="s">
        <v>2769</v>
      </c>
      <c r="C302" s="1">
        <v>1</v>
      </c>
      <c r="D302" s="1" t="s">
        <v>56</v>
      </c>
    </row>
    <row r="303" spans="1:4">
      <c r="A303" s="27" t="s">
        <v>3008</v>
      </c>
      <c r="B303" s="28" t="s">
        <v>2926</v>
      </c>
      <c r="C303" s="27">
        <v>2</v>
      </c>
      <c r="D303" s="29"/>
    </row>
    <row r="304" spans="1:4">
      <c r="B304" s="30" t="s">
        <v>2812</v>
      </c>
      <c r="C304" s="1">
        <v>1</v>
      </c>
      <c r="D304" s="1" t="s">
        <v>56</v>
      </c>
    </row>
    <row r="305" spans="1:4">
      <c r="B305" s="30" t="s">
        <v>2813</v>
      </c>
      <c r="C305" s="1">
        <v>1</v>
      </c>
      <c r="D305" s="1" t="s">
        <v>56</v>
      </c>
    </row>
    <row r="306" spans="1:4">
      <c r="A306" s="27" t="s">
        <v>3009</v>
      </c>
      <c r="B306" s="28" t="s">
        <v>2926</v>
      </c>
      <c r="C306" s="27">
        <v>2</v>
      </c>
      <c r="D306" s="29"/>
    </row>
    <row r="307" spans="1:4">
      <c r="B307" s="30" t="s">
        <v>2862</v>
      </c>
      <c r="C307" s="1">
        <v>1</v>
      </c>
      <c r="D307" s="1" t="s">
        <v>56</v>
      </c>
    </row>
    <row r="308" spans="1:4">
      <c r="B308" s="30" t="s">
        <v>2863</v>
      </c>
      <c r="C308" s="1">
        <v>1</v>
      </c>
      <c r="D308" s="1" t="s">
        <v>56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①先读我</vt:lpstr>
      <vt:lpstr>②需人工确认</vt:lpstr>
      <vt:lpstr>③归类总表</vt:lpstr>
      <vt:lpstr>④名称变体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賈贇</cp:lastModifiedBy>
  <cp:revision>0</cp:revision>
  <dcterms:created xsi:type="dcterms:W3CDTF">2026-08-31T03:40:43Z</dcterms:created>
  <dcterms:modified xsi:type="dcterms:W3CDTF">2026-09-02T08:05:49Z</dcterms:modified>
  <dc:language>en-US</dc:language>
</cp:coreProperties>
</file>